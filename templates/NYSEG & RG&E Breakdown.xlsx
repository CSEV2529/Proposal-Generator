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argesmartev.sharepoint.com/sites/ChargeSmartEV/Shared Documents/PROJECTS/~LEVEL 3 DCFC PROJECT FOLDER TEMPLATE/Submission Docs/"/>
    </mc:Choice>
  </mc:AlternateContent>
  <xr:revisionPtr revIDLastSave="7" documentId="8_{1DB513D8-64BD-4958-AA15-AC3AFC867A66}" xr6:coauthVersionLast="47" xr6:coauthVersionMax="47" xr10:uidLastSave="{E77C7E5F-9CBC-4AFA-BC10-0E020B6B2689}"/>
  <bookViews>
    <workbookView xWindow="51390" yWindow="7440" windowWidth="21600" windowHeight="11295" activeTab="2" xr2:uid="{CD0DCCAC-A3C1-48E0-BD6F-2B42907D40BF}"/>
  </bookViews>
  <sheets>
    <sheet name="L2 costs" sheetId="9" r:id="rId1"/>
    <sheet name="DCFC costs" sheetId="12" r:id="rId2"/>
    <sheet name="LMTIP" sheetId="13" r:id="rId3"/>
    <sheet name="References" sheetId="11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a" localSheetId="2">#REF!</definedName>
    <definedName name="a">#REF!</definedName>
    <definedName name="aaa" localSheetId="2">#REF!</definedName>
    <definedName name="aaa">#REF!</definedName>
    <definedName name="beta">[1]Dashboard!$C$18</definedName>
    <definedName name="beta_annual">[1]Quarterly_Norway!$C$17</definedName>
    <definedName name="billion">[1]Control!$B$136</definedName>
    <definedName name="Brand">'[2]Input Assumptions'!$A$41:$A$47</definedName>
    <definedName name="BROOKLYN">#REF!</definedName>
    <definedName name="CapDollars">#REF!</definedName>
    <definedName name="colortenspv">#REF!</definedName>
    <definedName name="data.adressablePercentage">[3]Data_NA!$B$5:$E$5</definedName>
    <definedName name="data.EVsalesLimit">[3]Data_NA!$B$7:$E$7</definedName>
    <definedName name="data.scenarios">[3]Data_NA!$B$1:$E$1</definedName>
    <definedName name="Data_currency">[1]Data_Global!$B$37:$E$44</definedName>
    <definedName name="Data_currency.col">[1]Data_Global!$B$37:$E$37</definedName>
    <definedName name="data_currency.ID">[1]Data_Global!$D$37:$D$44</definedName>
    <definedName name="Data_FX">[1]Data_Global!$B$28:$CD$33</definedName>
    <definedName name="Data_FX.ID">[1]Data_Global!$E$28:$E$33</definedName>
    <definedName name="Data_FX.year">[1]Data_Global!$B$28:$CD$28</definedName>
    <definedName name="Data_PriceVolumeMap">[1]Data_Global!$B$9:$FA$24</definedName>
    <definedName name="Data_PriceVolumeMap.ID">[1]Data_Global!$E$9:$E$24</definedName>
    <definedName name="Data_PVMapLower">[1]Data_Global!$G$12</definedName>
    <definedName name="Data_replacementCycle">[1]Data_Global!$B$3:$AO$7</definedName>
    <definedName name="Data_replacementCycle.ID">[1]Data_Global!$D$3:$D$7</definedName>
    <definedName name="Data_replacementCycle.year">[1]Data_Global!$B$5:$AO$5</definedName>
    <definedName name="DB_country">[1]Dashboard!$C$5</definedName>
    <definedName name="DB_currency">[1]Dashboard!$C$9</definedName>
    <definedName name="DB_dataCols">[1]Dashboard!$C$14</definedName>
    <definedName name="DB_dataRows">[1]Dashboard!$C$13</definedName>
    <definedName name="DB_dataTable">[1]Dashboard!$C$12</definedName>
    <definedName name="DB_forecastStart">[1]Dashboard!$C$11</definedName>
    <definedName name="DB_PVlookup">[1]Dashboard!$C$10</definedName>
    <definedName name="DB_segment">[1]Dashboard!$C$6</definedName>
    <definedName name="DB_switch_everIncreasing">[1]Dashboard!$C$8</definedName>
    <definedName name="DCFCprop" localSheetId="2">'[4]Developer - User Inputs'!$E$9</definedName>
    <definedName name="DCFCprop">'[5]Developer - User Inputs'!$E$9</definedName>
    <definedName name="DCFCtot" localSheetId="2">'[4]Developer Dashboard'!$D$62</definedName>
    <definedName name="DCFCtot">'[5]Developer Dashboard'!$D$62</definedName>
    <definedName name="DCFCuni" localSheetId="2">'[4]Developer - User Inputs'!$F$9</definedName>
    <definedName name="DCFCuni">'[5]Developer - User Inputs'!$F$9</definedName>
    <definedName name="def_countries">OFFSET([1]Def!$B$5,0,0,[1]Def!$B$18)</definedName>
    <definedName name="def_segments">OFFSET([1]Def!$C$5,0,0,[1]Def!$C$18)</definedName>
    <definedName name="DELTA">#REF!</definedName>
    <definedName name="DMNC">#REF!</definedName>
    <definedName name="EFORD">#REF!</definedName>
    <definedName name="Energy">#REF!</definedName>
    <definedName name="energyprice2">'[6]Energy price'!$B$72:$AQ$300</definedName>
    <definedName name="f">#REF!</definedName>
    <definedName name="FIRMYTD">[7]FIRM!$A$53:$GL$88</definedName>
    <definedName name="FixedCharges">#REF!</definedName>
    <definedName name="FORECAST">#REF!</definedName>
    <definedName name="FTR">'[8]PJM Forward Curve'!$B$15</definedName>
    <definedName name="Fuelburn">#REF!</definedName>
    <definedName name="fuelvol">#REF!</definedName>
    <definedName name="fuelvol2">#REF!</definedName>
    <definedName name="futureproof" localSheetId="2">'[4]Developer - User Inputs'!$I$9</definedName>
    <definedName name="futureproof">'[5]Developer - User Inputs'!$I$9</definedName>
    <definedName name="Gen">#REF!</definedName>
    <definedName name="hourgen">#REF!</definedName>
    <definedName name="int_ScenarioCount">[9]Data!$C$67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2prop" localSheetId="2">'[4]Developer - User Inputs'!$E$10</definedName>
    <definedName name="L2prop">'[5]Developer - User Inputs'!$E$10</definedName>
    <definedName name="L2tot" localSheetId="2">'[4]Developer Dashboard'!$D$63</definedName>
    <definedName name="L2tot">'[5]Developer Dashboard'!$D$63</definedName>
    <definedName name="L2uni" localSheetId="2">'[4]Developer - User Inputs'!$F$10</definedName>
    <definedName name="L2uni">'[5]Developer - User Inputs'!$F$10</definedName>
    <definedName name="loadnn">#REF!</definedName>
    <definedName name="LongRange">#REF!</definedName>
    <definedName name="MANHATTAN">#REF!</definedName>
    <definedName name="million">[1]Dashboard!$C$25</definedName>
    <definedName name="MiscYTD">[7]Misc.!$A$53:$EE$88</definedName>
    <definedName name="MWH">#REF!</definedName>
    <definedName name="networkn" localSheetId="2">'[10]pev+count'!#REF!</definedName>
    <definedName name="networkn">'[11]pev+count'!#REF!</definedName>
    <definedName name="NUGS" localSheetId="2">[12]NUGS!$A$3:$IN$38</definedName>
    <definedName name="NUGS">[13]NUGS!$A$3:$IN$38</definedName>
    <definedName name="NUGSYTD">[7]NUGS!$A$52:$IN$87</definedName>
    <definedName name="NYCSupply">#REF!</definedName>
    <definedName name="NYISO">#REF!</definedName>
    <definedName name="NYISOYTD">#REF!</definedName>
    <definedName name="NYPP">#REF!</definedName>
    <definedName name="NYPPYTD">[7]NYISO!$A$53:$HF$76</definedName>
    <definedName name="offpeakMW">#REF!</definedName>
    <definedName name="offpeakpercentage">#REF!</definedName>
    <definedName name="onpeakMW">#REF!</definedName>
    <definedName name="onpeakpercentage">#REF!</definedName>
    <definedName name="Other">#REF!</definedName>
    <definedName name="outputData">[1]Output_RawData!$1:$1048576</definedName>
    <definedName name="outputData.ID">[1]Output_RawData!$A:$A</definedName>
    <definedName name="outputData.year">[1]Output_RawData!$2:$2</definedName>
    <definedName name="p">[1]Dashboard!$C$16</definedName>
    <definedName name="p_annual">[1]Quarterly_Norway!$C$15</definedName>
    <definedName name="PAGE1">#REF!</definedName>
    <definedName name="POWERVOL">#REF!</definedName>
    <definedName name="powervol2">#REF!</definedName>
    <definedName name="PRICE">[14]Calculation!$AI$19:$AI$173+[14]Calculation!$AB$18:$AN$173</definedName>
    <definedName name="_xlnm.Print_Titles">#N/A</definedName>
    <definedName name="pv_allbuildings">#REF!</definedName>
    <definedName name="q">[1]Dashboard!$C$17</definedName>
    <definedName name="q_annual">[1]Quarterly_Norway!$C$16</definedName>
    <definedName name="QUEENS">#REF!</definedName>
    <definedName name="RiskCollectDistributionSamples">2</definedName>
    <definedName name="RiskFixedSeed">1</definedName>
    <definedName name="RiskHasSettings">TRUE</definedName>
    <definedName name="RiskMinimizeOnStart">FALSE</definedName>
    <definedName name="RiskMonitorConvergence">FALSE</definedName>
    <definedName name="RiskNumIterations">1000</definedName>
    <definedName name="RiskNumSimulations">1</definedName>
    <definedName name="RiskPauseOnError">FALSE</definedName>
    <definedName name="RiskRealTimeResults">FALSE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tandardRecalc">1</definedName>
    <definedName name="RiskStatFunctionsUpdateFreq">1</definedName>
    <definedName name="RiskUpdateDisplay">FALSE</definedName>
    <definedName name="RiskUpdateStatFunctions">TRUE</definedName>
    <definedName name="RiskUseDifferentSeedForEachSim">FALSE</definedName>
    <definedName name="RiskUseFixedSeed">FALSE</definedName>
    <definedName name="rng_COVER_ContentsList">#REF!</definedName>
    <definedName name="rng_Cover_Copyright">#REF!</definedName>
    <definedName name="rng_VBA_Formats" xml:space="preserve"> OFFSET(#REF!, 0, 0,#REF!)</definedName>
    <definedName name="rng_VBA_HeaderContents">#REF!</definedName>
    <definedName name="rng_VBA_LineStyles" xml:space="preserve"> OFFSET(#REF!, 0, 0,#REF!)</definedName>
    <definedName name="rng_VBA_Names" xml:space="preserve"> OFFSET(#REF!, 0, 0,#REF!)</definedName>
    <definedName name="scenario">[1]Dashboard!#REF!</definedName>
    <definedName name="SPOTYTD">[7]SPOT!$A$53:$EI$88</definedName>
    <definedName name="STATEN_ISLAND">#REF!</definedName>
    <definedName name="subsetn">#REF!</definedName>
    <definedName name="Tariffs">#REF!</definedName>
    <definedName name="tbl_standardColours">#REF!</definedName>
    <definedName name="tempn">#REF!</definedName>
    <definedName name="UCAP">#REF!</definedName>
    <definedName name="UCAPQ">#REF!</definedName>
    <definedName name="UCAPrice">#REF!</definedName>
    <definedName name="WESTCHESTER">#REF!</definedName>
    <definedName name="wkt_ids">#REF!</definedName>
    <definedName name="wrn.sales." localSheetId="2" hidden="1">{"summary",#N/A,FALSE,"Total Sales";"year1",#N/A,FALSE,"Total Sales";"year2",#N/A,FALSE,"Total Sales";"year3",#N/A,FALSE,"Total Sales";"year4",#N/A,FALSE,"Total Sales";"year5",#N/A,FALSE,"Total Sales"}</definedName>
    <definedName name="wrn.sales." hidden="1">{"summary",#N/A,FALSE,"Total Sales";"year1",#N/A,FALSE,"Total Sales";"year2",#N/A,FALSE,"Total Sales";"year3",#N/A,FALSE,"Total Sales";"year4",#N/A,FALSE,"Total Sales";"year5",#N/A,FALSE,"Total Sales"}</definedName>
    <definedName name="xLkpNorthwestResLQtlFixed" localSheetId="2">[15]Control!$1:$1048576</definedName>
    <definedName name="xLkpNorthwestResLQtlFixed">[16]Control!$1:$1048576</definedName>
    <definedName name="xLkpSoutheastResLQtlFixed">[17]Control!$1:$1048576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3" l="1"/>
  <c r="D37" i="13" s="1"/>
  <c r="E20" i="13"/>
  <c r="E37" i="13" s="1"/>
  <c r="F21" i="13"/>
  <c r="F20" i="13" s="1"/>
  <c r="F37" i="13" s="1"/>
  <c r="F22" i="13"/>
  <c r="F23" i="13"/>
  <c r="F24" i="13"/>
  <c r="F26" i="13"/>
  <c r="F27" i="13"/>
  <c r="F28" i="13"/>
  <c r="F29" i="13"/>
  <c r="D30" i="13"/>
  <c r="E30" i="13"/>
  <c r="F31" i="13"/>
  <c r="F30" i="13" s="1"/>
  <c r="F32" i="13"/>
  <c r="F33" i="13"/>
  <c r="F34" i="13"/>
  <c r="F35" i="13"/>
  <c r="F36" i="13"/>
  <c r="G25" i="9"/>
  <c r="E41" i="9"/>
  <c r="E35" i="9"/>
  <c r="F35" i="9"/>
  <c r="E24" i="9"/>
  <c r="E48" i="9" l="1"/>
  <c r="G33" i="12" l="1"/>
  <c r="G32" i="12"/>
  <c r="F24" i="9"/>
  <c r="F35" i="12"/>
  <c r="F24" i="12"/>
  <c r="E35" i="12" l="1"/>
  <c r="E24" i="12"/>
  <c r="F41" i="12" l="1"/>
  <c r="F48" i="12" s="1"/>
  <c r="G40" i="12"/>
  <c r="G39" i="12"/>
  <c r="G38" i="12"/>
  <c r="G37" i="12"/>
  <c r="G36" i="12"/>
  <c r="G34" i="12"/>
  <c r="G31" i="12"/>
  <c r="G30" i="12"/>
  <c r="G29" i="12"/>
  <c r="G28" i="12"/>
  <c r="G27" i="12"/>
  <c r="G35" i="12" l="1"/>
  <c r="G46" i="9"/>
  <c r="G47" i="9"/>
  <c r="G36" i="9"/>
  <c r="G33" i="9"/>
  <c r="G34" i="9"/>
  <c r="G27" i="9"/>
  <c r="G26" i="9" l="1"/>
  <c r="G28" i="9"/>
  <c r="G29" i="9"/>
  <c r="G30" i="9"/>
  <c r="G31" i="9"/>
  <c r="G32" i="9"/>
  <c r="F41" i="9" l="1"/>
  <c r="G45" i="9"/>
  <c r="G39" i="9" l="1"/>
  <c r="G37" i="9"/>
  <c r="G38" i="9"/>
  <c r="G40" i="9"/>
  <c r="G42" i="9"/>
  <c r="G43" i="9"/>
  <c r="G44" i="9"/>
  <c r="G35" i="9" l="1"/>
  <c r="G41" i="9"/>
  <c r="F48" i="9" l="1"/>
  <c r="G25" i="12"/>
  <c r="G26" i="12"/>
  <c r="G24" i="12" l="1"/>
  <c r="G46" i="12"/>
  <c r="G42" i="12"/>
  <c r="G43" i="12"/>
  <c r="G47" i="12"/>
  <c r="G45" i="12"/>
  <c r="E41" i="12"/>
  <c r="E48" i="12" s="1"/>
  <c r="G44" i="12"/>
  <c r="G24" i="9"/>
  <c r="G48" i="9" s="1"/>
  <c r="G41" i="12" l="1"/>
  <c r="G48" i="12" s="1"/>
</calcChain>
</file>

<file path=xl/sharedStrings.xml><?xml version="1.0" encoding="utf-8"?>
<sst xmlns="http://schemas.openxmlformats.org/spreadsheetml/2006/main" count="180" uniqueCount="93">
  <si>
    <t>Site Information</t>
  </si>
  <si>
    <t>Site/Application Name</t>
  </si>
  <si>
    <t># of L2 Plugs</t>
  </si>
  <si>
    <t>Plug Type</t>
  </si>
  <si>
    <t xml:space="preserve">Single Plug Output (kW) </t>
  </si>
  <si>
    <t xml:space="preserve">Simultaneous Output (kW) </t>
  </si>
  <si>
    <t>Site Address</t>
  </si>
  <si>
    <t>Site County</t>
  </si>
  <si>
    <t>Approved Contractor Information (If different from Application)</t>
  </si>
  <si>
    <t>Site Category (retail, workplace, MUD, college/university etc.)</t>
  </si>
  <si>
    <t>Approved Contractor Company</t>
  </si>
  <si>
    <t>Approved Contractor Name &amp; Title</t>
  </si>
  <si>
    <t>Approved Contractor Email</t>
  </si>
  <si>
    <t>Total feet of trenching</t>
  </si>
  <si>
    <t>Approved Contractor Phone</t>
  </si>
  <si>
    <t>Total feet of conduit</t>
  </si>
  <si>
    <t>Expected Construction Schedule</t>
  </si>
  <si>
    <t>Expected Construction Start Date</t>
  </si>
  <si>
    <t>Total feet of cable</t>
  </si>
  <si>
    <t>Expected Construction End Date</t>
  </si>
  <si>
    <t>Customer-Side Costs</t>
  </si>
  <si>
    <t>Cost Category</t>
  </si>
  <si>
    <t>Cost Type</t>
  </si>
  <si>
    <t>If Other, provide description</t>
  </si>
  <si>
    <t xml:space="preserve">Material </t>
  </si>
  <si>
    <t>Labor</t>
  </si>
  <si>
    <t>Material + Labor Total</t>
  </si>
  <si>
    <t xml:space="preserve">Eligible Costs:
</t>
  </si>
  <si>
    <t>Eligible Costs Total</t>
  </si>
  <si>
    <t>Please attribute all costs to the Cost Types listed. If a cost cannot be attributed to a listed Cost Type, please use Other and provide a description in column D.</t>
  </si>
  <si>
    <t>Electrical Panel/Breakers</t>
  </si>
  <si>
    <t>Service Boards</t>
  </si>
  <si>
    <t>Meter Provision (if separate from panel)</t>
  </si>
  <si>
    <t>Permitting Costs</t>
  </si>
  <si>
    <t>Design Costs</t>
  </si>
  <si>
    <t>Trenching/Restoration</t>
  </si>
  <si>
    <t>Feet</t>
  </si>
  <si>
    <t>Conduit &amp; Cable</t>
  </si>
  <si>
    <t>Transformers</t>
  </si>
  <si>
    <t>Pads/Foundations</t>
  </si>
  <si>
    <t>Other [please describe]</t>
  </si>
  <si>
    <t>Eligible Futureproofing Costs</t>
  </si>
  <si>
    <t>Eligible Future Proofing Costs Total</t>
  </si>
  <si>
    <t>Panel &amp; Service Boards</t>
  </si>
  <si>
    <t>Non-Eligible Costs</t>
  </si>
  <si>
    <t>Non-Eligible Costs Total</t>
  </si>
  <si>
    <t>Chargers</t>
  </si>
  <si>
    <t>Bollards</t>
  </si>
  <si>
    <t>Station Installation</t>
  </si>
  <si>
    <t>Signage</t>
  </si>
  <si>
    <t>Striping</t>
  </si>
  <si>
    <t>Total Costs</t>
  </si>
  <si>
    <t>Total</t>
  </si>
  <si>
    <t># of DCFC Plugs</t>
  </si>
  <si>
    <t>Material Total</t>
  </si>
  <si>
    <t>Material + Labor</t>
  </si>
  <si>
    <t>Eligible Costs</t>
  </si>
  <si>
    <t>Eligible Future Proofing Costs</t>
  </si>
  <si>
    <t>Load Management Technologies Incentive Program - Project Cost Detail</t>
  </si>
  <si>
    <t>Only use this sheet if you are applying for Load Management Technologies Incentive Program Funding</t>
  </si>
  <si>
    <t>Project Details</t>
  </si>
  <si>
    <t>Does your project include:</t>
  </si>
  <si>
    <t>Stand-alone Energy Storage: (Y/N)</t>
  </si>
  <si>
    <t>Energy Storage integrated into EVSE: (Y/N)</t>
  </si>
  <si>
    <t>Load Management Software: (Y/N)</t>
  </si>
  <si>
    <t>Other Load Management Hardware: (Y/N)</t>
  </si>
  <si>
    <t>Total Energy Storage Usable Capacity in kWh:</t>
  </si>
  <si>
    <t>Max Energy Storage Input in kW:</t>
  </si>
  <si>
    <t>Max Energy Storage Output in kW:</t>
  </si>
  <si>
    <t>Ft of trenching required</t>
  </si>
  <si>
    <t>General description of the site</t>
  </si>
  <si>
    <t>For Costs Below</t>
  </si>
  <si>
    <r>
      <t xml:space="preserve">If a cost </t>
    </r>
    <r>
      <rPr>
        <i/>
        <sz val="11"/>
        <color theme="2" tint="-0.749961851863155"/>
        <rFont val="Calibri"/>
        <family val="2"/>
        <scheme val="minor"/>
      </rPr>
      <t>cannot</t>
    </r>
    <r>
      <rPr>
        <sz val="11"/>
        <color theme="2" tint="-0.749961851863155"/>
        <rFont val="Calibri"/>
        <family val="2"/>
        <scheme val="minor"/>
      </rPr>
      <t xml:space="preserve"> be broken out from a Make-Ready cost (ex: a site permit), put the entire cost on the "Make-Ready" tab, and note that the cost is shared with LMTIP in the notes </t>
    </r>
  </si>
  <si>
    <r>
      <t xml:space="preserve">If a cost </t>
    </r>
    <r>
      <rPr>
        <i/>
        <sz val="11"/>
        <color theme="2" tint="-0.749961851863155"/>
        <rFont val="Calibri"/>
        <family val="2"/>
        <scheme val="minor"/>
      </rPr>
      <t>can</t>
    </r>
    <r>
      <rPr>
        <sz val="11"/>
        <color theme="2" tint="-0.749961851863155"/>
        <rFont val="Calibri"/>
        <family val="2"/>
        <scheme val="minor"/>
      </rPr>
      <t xml:space="preserve"> be broken out from a Make-Ready cost, put the appropriate cost amounts on each tab. While incentives can stack between MRP and LMTIP, no dollar of cost can be incentivized in both program.</t>
    </r>
  </si>
  <si>
    <t>Energy Storage Equipment</t>
  </si>
  <si>
    <t>Inverters</t>
  </si>
  <si>
    <t>Battery Integrated EVSE</t>
  </si>
  <si>
    <t>Other Load Management Hardware</t>
  </si>
  <si>
    <t>Load Management Software</t>
  </si>
  <si>
    <t>$/Unit Type</t>
  </si>
  <si>
    <t>$/EVSE Charger</t>
  </si>
  <si>
    <t>$/Foot</t>
  </si>
  <si>
    <t>$/Plug</t>
  </si>
  <si>
    <t>$/Site</t>
  </si>
  <si>
    <t>$/Unit</t>
  </si>
  <si>
    <t>N/A</t>
  </si>
  <si>
    <t>ChargeSmart EV</t>
  </si>
  <si>
    <t>Sal Valle- Managing Member</t>
  </si>
  <si>
    <t>sal@chargesmartev.com</t>
  </si>
  <si>
    <t>585-943-9980</t>
  </si>
  <si>
    <t>N</t>
  </si>
  <si>
    <t>Y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</si>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</sst>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2" tint="-0.749961851863155"/>
      <name val="Calibri"/>
      <family val="2"/>
      <scheme val="minor"/>
    </font>
    <font>
      <i/>
      <sz val="11"/>
      <color theme="2" tint="-0.749961851863155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b/>
      <sz val="11"/>
      <color theme="2" tint="-0.749961851863155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98017"/>
        <bgColor indexed="64"/>
      </patternFill>
    </fill>
  </fills>
  <borders count="26">
    <border>
      <left/>
      <right/>
      <top/>
      <bottom/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4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8" fillId="0" borderId="0"/>
    <xf numFmtId="43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9">
    <xf numFmtId="0" fontId="0" fillId="0" borderId="0" xfId="0"/>
    <xf numFmtId="0" fontId="2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/>
    <xf numFmtId="0" fontId="3" fillId="0" borderId="0" xfId="0" applyFont="1"/>
    <xf numFmtId="0" fontId="3" fillId="0" borderId="4" xfId="0" applyFont="1" applyBorder="1"/>
    <xf numFmtId="0" fontId="3" fillId="0" borderId="5" xfId="0" applyFont="1" applyBorder="1"/>
    <xf numFmtId="0" fontId="5" fillId="4" borderId="9" xfId="0" applyFont="1" applyFill="1" applyBorder="1" applyAlignment="1">
      <alignment vertical="center" wrapText="1"/>
    </xf>
    <xf numFmtId="0" fontId="3" fillId="5" borderId="1" xfId="0" applyFont="1" applyFill="1" applyBorder="1"/>
    <xf numFmtId="0" fontId="3" fillId="5" borderId="2" xfId="0" applyFont="1" applyFill="1" applyBorder="1"/>
    <xf numFmtId="0" fontId="3" fillId="5" borderId="3" xfId="0" applyFont="1" applyFill="1" applyBorder="1"/>
    <xf numFmtId="0" fontId="3" fillId="5" borderId="4" xfId="0" applyFont="1" applyFill="1" applyBorder="1"/>
    <xf numFmtId="0" fontId="4" fillId="5" borderId="0" xfId="0" applyFont="1" applyFill="1"/>
    <xf numFmtId="0" fontId="3" fillId="5" borderId="0" xfId="0" applyFont="1" applyFill="1"/>
    <xf numFmtId="0" fontId="3" fillId="5" borderId="5" xfId="0" applyFont="1" applyFill="1" applyBorder="1"/>
    <xf numFmtId="0" fontId="0" fillId="2" borderId="10" xfId="0" applyFill="1" applyBorder="1" applyAlignment="1">
      <alignment horizontal="center" wrapText="1"/>
    </xf>
    <xf numFmtId="0" fontId="0" fillId="2" borderId="10" xfId="0" applyFill="1" applyBorder="1" applyAlignment="1">
      <alignment horizontal="center"/>
    </xf>
    <xf numFmtId="0" fontId="7" fillId="6" borderId="9" xfId="0" applyFont="1" applyFill="1" applyBorder="1" applyAlignment="1">
      <alignment horizontal="left" vertical="center" wrapText="1" indent="1"/>
    </xf>
    <xf numFmtId="0" fontId="7" fillId="6" borderId="11" xfId="0" applyFont="1" applyFill="1" applyBorder="1" applyAlignment="1">
      <alignment horizontal="left" vertical="center" wrapText="1" indent="1"/>
    </xf>
    <xf numFmtId="0" fontId="0" fillId="7" borderId="0" xfId="0" applyFill="1"/>
    <xf numFmtId="0" fontId="2" fillId="0" borderId="4" xfId="0" applyFont="1" applyBorder="1" applyAlignment="1">
      <alignment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10" fillId="0" borderId="0" xfId="0" applyFont="1"/>
    <xf numFmtId="0" fontId="0" fillId="0" borderId="12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2" fillId="0" borderId="4" xfId="0" applyFont="1" applyBorder="1"/>
    <xf numFmtId="0" fontId="2" fillId="0" borderId="4" xfId="0" applyFont="1" applyBorder="1" applyAlignment="1">
      <alignment vertical="top"/>
    </xf>
    <xf numFmtId="0" fontId="7" fillId="6" borderId="9" xfId="0" applyFont="1" applyFill="1" applyBorder="1" applyAlignment="1" applyProtection="1">
      <alignment horizontal="left" vertical="center" wrapText="1" indent="1"/>
      <protection locked="0"/>
    </xf>
    <xf numFmtId="0" fontId="7" fillId="6" borderId="11" xfId="0" applyFont="1" applyFill="1" applyBorder="1" applyAlignment="1" applyProtection="1">
      <alignment horizontal="left" vertical="center" wrapText="1" indent="1"/>
      <protection locked="0"/>
    </xf>
    <xf numFmtId="44" fontId="6" fillId="6" borderId="9" xfId="9" applyFont="1" applyFill="1" applyBorder="1" applyAlignment="1" applyProtection="1">
      <alignment vertical="center" wrapText="1"/>
      <protection locked="0"/>
    </xf>
    <xf numFmtId="44" fontId="7" fillId="6" borderId="9" xfId="9" applyFont="1" applyFill="1" applyBorder="1" applyAlignment="1" applyProtection="1">
      <alignment vertical="center" wrapText="1"/>
      <protection locked="0"/>
    </xf>
    <xf numFmtId="44" fontId="7" fillId="6" borderId="9" xfId="9" applyFont="1" applyFill="1" applyBorder="1" applyAlignment="1" applyProtection="1">
      <alignment vertical="center" wrapText="1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2" borderId="0" xfId="0" applyFill="1" applyAlignment="1" applyProtection="1">
      <alignment wrapText="1"/>
      <protection locked="0"/>
    </xf>
    <xf numFmtId="0" fontId="0" fillId="3" borderId="10" xfId="0" applyFill="1" applyBorder="1" applyProtection="1">
      <protection locked="0"/>
    </xf>
    <xf numFmtId="0" fontId="9" fillId="8" borderId="9" xfId="0" applyFont="1" applyFill="1" applyBorder="1" applyAlignment="1">
      <alignment vertical="center" wrapText="1"/>
    </xf>
    <xf numFmtId="0" fontId="9" fillId="8" borderId="9" xfId="0" applyFont="1" applyFill="1" applyBorder="1" applyAlignment="1" applyProtection="1">
      <alignment vertical="center" wrapText="1"/>
      <protection locked="0"/>
    </xf>
    <xf numFmtId="44" fontId="6" fillId="8" borderId="9" xfId="9" applyFont="1" applyFill="1" applyBorder="1" applyAlignment="1" applyProtection="1">
      <alignment vertical="center" wrapText="1"/>
    </xf>
    <xf numFmtId="44" fontId="6" fillId="8" borderId="9" xfId="9" applyFont="1" applyFill="1" applyBorder="1" applyAlignment="1">
      <alignment vertical="center" wrapText="1"/>
    </xf>
    <xf numFmtId="9" fontId="0" fillId="3" borderId="0" xfId="0" applyNumberFormat="1" applyFill="1" applyProtection="1">
      <protection locked="0"/>
    </xf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wrapText="1"/>
    </xf>
    <xf numFmtId="14" fontId="0" fillId="2" borderId="0" xfId="0" applyNumberFormat="1" applyFill="1" applyProtection="1">
      <protection locked="0"/>
    </xf>
    <xf numFmtId="0" fontId="9" fillId="8" borderId="13" xfId="0" applyFont="1" applyFill="1" applyBorder="1" applyAlignment="1">
      <alignment vertical="center" wrapText="1"/>
    </xf>
    <xf numFmtId="0" fontId="12" fillId="6" borderId="9" xfId="0" applyFont="1" applyFill="1" applyBorder="1" applyAlignment="1">
      <alignment horizontal="left" vertical="center" indent="1"/>
    </xf>
    <xf numFmtId="0" fontId="9" fillId="8" borderId="14" xfId="0" applyFont="1" applyFill="1" applyBorder="1" applyAlignment="1">
      <alignment vertical="center" wrapText="1"/>
    </xf>
    <xf numFmtId="0" fontId="7" fillId="9" borderId="11" xfId="0" applyFont="1" applyFill="1" applyBorder="1" applyAlignment="1">
      <alignment horizontal="left" vertical="center" wrapText="1" indent="1"/>
    </xf>
    <xf numFmtId="0" fontId="7" fillId="9" borderId="9" xfId="0" applyFont="1" applyFill="1" applyBorder="1" applyAlignment="1">
      <alignment horizontal="left" vertical="center" wrapText="1" indent="1"/>
    </xf>
    <xf numFmtId="0" fontId="0" fillId="0" borderId="15" xfId="0" applyBorder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13" fillId="0" borderId="10" xfId="0" applyFont="1" applyBorder="1" applyAlignment="1">
      <alignment horizontal="left" vertical="center" indent="1"/>
    </xf>
    <xf numFmtId="0" fontId="15" fillId="3" borderId="10" xfId="0" applyFont="1" applyFill="1" applyBorder="1" applyAlignment="1" applyProtection="1">
      <alignment vertical="center" wrapText="1"/>
      <protection locked="0"/>
    </xf>
    <xf numFmtId="14" fontId="15" fillId="3" borderId="10" xfId="0" applyNumberFormat="1" applyFont="1" applyFill="1" applyBorder="1" applyAlignment="1" applyProtection="1">
      <alignment vertical="center" wrapText="1"/>
      <protection locked="0"/>
    </xf>
    <xf numFmtId="0" fontId="12" fillId="0" borderId="0" xfId="0" applyFont="1" applyAlignment="1">
      <alignment horizontal="left" vertical="center" wrapText="1" indent="1"/>
    </xf>
    <xf numFmtId="164" fontId="12" fillId="0" borderId="0" xfId="0" applyNumberFormat="1" applyFont="1" applyAlignment="1" applyProtection="1">
      <alignment horizontal="left" vertical="center" wrapText="1" indent="1"/>
      <protection locked="0"/>
    </xf>
    <xf numFmtId="0" fontId="12" fillId="0" borderId="0" xfId="0" applyFont="1" applyAlignment="1" applyProtection="1">
      <alignment horizontal="left" vertical="center" wrapText="1" indent="1"/>
      <protection locked="0"/>
    </xf>
    <xf numFmtId="164" fontId="12" fillId="0" borderId="0" xfId="0" applyNumberFormat="1" applyFont="1" applyAlignment="1">
      <alignment horizontal="left" vertical="center" wrapText="1" indent="1"/>
    </xf>
    <xf numFmtId="0" fontId="3" fillId="10" borderId="10" xfId="0" applyFont="1" applyFill="1" applyBorder="1" applyAlignment="1">
      <alignment horizontal="left" vertical="center" wrapText="1" indent="1"/>
    </xf>
    <xf numFmtId="0" fontId="11" fillId="10" borderId="10" xfId="0" applyFont="1" applyFill="1" applyBorder="1" applyAlignment="1">
      <alignment horizontal="left" vertical="center"/>
    </xf>
    <xf numFmtId="164" fontId="0" fillId="0" borderId="0" xfId="0" applyNumberFormat="1" applyAlignment="1">
      <alignment horizontal="left" vertical="center" wrapText="1" indent="1"/>
    </xf>
    <xf numFmtId="0" fontId="0" fillId="5" borderId="0" xfId="0" applyFill="1" applyAlignment="1">
      <alignment horizontal="left" vertical="center" wrapText="1" indent="1"/>
    </xf>
    <xf numFmtId="0" fontId="18" fillId="5" borderId="20" xfId="0" applyFont="1" applyFill="1" applyBorder="1" applyAlignment="1">
      <alignment horizontal="left" vertical="center"/>
    </xf>
    <xf numFmtId="0" fontId="0" fillId="3" borderId="0" xfId="0" applyFill="1" applyAlignment="1" applyProtection="1">
      <alignment horizontal="center"/>
      <protection locked="0"/>
    </xf>
    <xf numFmtId="0" fontId="0" fillId="0" borderId="4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17" fillId="2" borderId="10" xfId="0" applyFont="1" applyFill="1" applyBorder="1" applyAlignment="1">
      <alignment horizontal="left" vertical="center"/>
    </xf>
    <xf numFmtId="0" fontId="0" fillId="0" borderId="4" xfId="0" applyBorder="1" applyAlignment="1">
      <alignment horizontal="center" vertical="center" wrapText="1"/>
    </xf>
    <xf numFmtId="0" fontId="0" fillId="0" borderId="12" xfId="0" applyBorder="1" applyAlignment="1">
      <alignment horizontal="center" vertical="top" wrapText="1"/>
    </xf>
    <xf numFmtId="0" fontId="16" fillId="0" borderId="25" xfId="0" applyFont="1" applyBorder="1" applyAlignment="1">
      <alignment horizontal="left" vertical="center"/>
    </xf>
    <xf numFmtId="0" fontId="16" fillId="0" borderId="24" xfId="0" applyFont="1" applyBorder="1" applyAlignment="1">
      <alignment horizontal="left" vertical="center"/>
    </xf>
    <xf numFmtId="0" fontId="15" fillId="7" borderId="23" xfId="0" applyFont="1" applyFill="1" applyBorder="1" applyAlignment="1" applyProtection="1">
      <alignment horizontal="center" vertical="center" wrapText="1"/>
      <protection locked="0"/>
    </xf>
    <xf numFmtId="0" fontId="15" fillId="7" borderId="22" xfId="0" applyFont="1" applyFill="1" applyBorder="1" applyAlignment="1" applyProtection="1">
      <alignment horizontal="center" vertical="center" wrapText="1"/>
      <protection locked="0"/>
    </xf>
    <xf numFmtId="0" fontId="15" fillId="7" borderId="21" xfId="0" applyFont="1" applyFill="1" applyBorder="1" applyAlignment="1" applyProtection="1">
      <alignment horizontal="center" vertical="center" wrapText="1"/>
      <protection locked="0"/>
    </xf>
    <xf numFmtId="0" fontId="15" fillId="7" borderId="20" xfId="0" applyFont="1" applyFill="1" applyBorder="1" applyAlignment="1" applyProtection="1">
      <alignment horizontal="center" vertical="center" wrapText="1"/>
      <protection locked="0"/>
    </xf>
    <xf numFmtId="0" fontId="15" fillId="7" borderId="0" xfId="0" applyFont="1" applyFill="1" applyAlignment="1" applyProtection="1">
      <alignment horizontal="center" vertical="center" wrapText="1"/>
      <protection locked="0"/>
    </xf>
    <xf numFmtId="0" fontId="15" fillId="7" borderId="19" xfId="0" applyFont="1" applyFill="1" applyBorder="1" applyAlignment="1" applyProtection="1">
      <alignment horizontal="center" vertical="center" wrapText="1"/>
      <protection locked="0"/>
    </xf>
    <xf numFmtId="0" fontId="15" fillId="7" borderId="18" xfId="0" applyFont="1" applyFill="1" applyBorder="1" applyAlignment="1" applyProtection="1">
      <alignment horizontal="center" vertical="center" wrapText="1"/>
      <protection locked="0"/>
    </xf>
    <xf numFmtId="0" fontId="15" fillId="7" borderId="15" xfId="0" applyFont="1" applyFill="1" applyBorder="1" applyAlignment="1" applyProtection="1">
      <alignment horizontal="center" vertical="center" wrapText="1"/>
      <protection locked="0"/>
    </xf>
    <xf numFmtId="0" fontId="15" fillId="7" borderId="17" xfId="0" applyFont="1" applyFill="1" applyBorder="1" applyAlignment="1" applyProtection="1">
      <alignment horizontal="center" vertical="center" wrapText="1"/>
      <protection locked="0"/>
    </xf>
    <xf numFmtId="0" fontId="15" fillId="3" borderId="10" xfId="0" applyFont="1" applyFill="1" applyBorder="1" applyAlignment="1" applyProtection="1">
      <alignment horizontal="center" vertical="center" wrapText="1"/>
      <protection locked="0"/>
    </xf>
    <xf numFmtId="0" fontId="3" fillId="10" borderId="16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wrapText="1"/>
    </xf>
  </cellXfs>
  <cellStyles count="10">
    <cellStyle name="Comma 2" xfId="3" xr:uid="{4EC42032-4082-4FA9-9675-AE517DAB3D2D}"/>
    <cellStyle name="Comma 2 2" xfId="6" xr:uid="{ECE528BF-CE29-4936-B5F6-C1883AD7FADB}"/>
    <cellStyle name="Currency" xfId="9" builtinId="4"/>
    <cellStyle name="Currency 2" xfId="4" xr:uid="{09970FE5-3297-483E-B39C-3F72FEB95D94}"/>
    <cellStyle name="Currency 3" xfId="7" xr:uid="{0E343DBC-D2D9-455B-9380-B78E68B29357}"/>
    <cellStyle name="Normal" xfId="0" builtinId="0"/>
    <cellStyle name="Normal 2" xfId="1" xr:uid="{777A70EB-F03A-4CDC-8559-704D4A647FD1}"/>
    <cellStyle name="Normal 3" xfId="2" xr:uid="{3DEA85D3-ECAA-44D6-8778-C4A46968213E}"/>
    <cellStyle name="Percent 2" xfId="5" xr:uid="{3053EC6A-84D6-4F3A-9796-879260BE0364}"/>
    <cellStyle name="Percent 3" xfId="8" xr:uid="{A90199BD-3E94-419D-B2AB-D702EA7EEC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NEF_2040_Outlook_May%20%202017_automated%20outpu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ill%20calculation%20Charger%20station%201%20meter_WeightedAverag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EV_adoption_v21_TEMP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berdrolaus.sharepoint.com/Users/MetelitsaC/AppData/Local/Microsoft/Windows/INetCache/Content.Outlook/Q1AVHHY5/EVSE%20Business%20model%20V18.4%20Rate%20Engineering%20Analysis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telitsaC\AppData\Local\Microsoft\Windows\INetCache\Content.Outlook\Q1AVHHY5\EVSE%20Business%20model%20V18.4%20Rate%20Engineering%20Analysis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CECONY%20NUGs%20Generation%20and%20Price%20Estimat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able%20A%2020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ward%20Energy%20Price%20Report%20%2003-01-0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BNEF_Waterfall%20builder_2010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berdrolaus.sharepoint.com/Users/rossb/AppData/Local/Microsoft/Windows/INetCache/Content.Outlook/IZCG67T3/pev+coun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ssb\AppData\Local\Microsoft\Windows\INetCache\Content.Outlook\IZCG67T3\pev+coun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berdrolaus.sharepoint.com/Users/rossb/AppData/Local/Microsoft/Windows/INetCache/Content.Outlook/IZCG67T3/Table%20A%202004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ssb\AppData\Local\Microsoft\Windows\INetCache\Content.Outlook\IZCG67T3\Table%20A%20200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UG%20Price%20Forecas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berdrolaus.sharepoint.com/Users/rossb/AppData/Local/Microsoft/Windows/INetCache/Content.Outlook/IZCG67T3/NorthwestResLQtlFixed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ssb\AppData\Local\Microsoft\Windows\INetCache\Content.Outlook\IZCG67T3\NorthwestResLQtlFixed.xlsm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outheastResLQtlFixe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ef"/>
      <sheetName val="Control"/>
      <sheetName val="Dashboard"/>
      <sheetName val="RoW Country elec"/>
      <sheetName val="Output_RawData"/>
      <sheetName val="TCO charts"/>
      <sheetName val="Comparison"/>
      <sheetName val="Global"/>
      <sheetName val="US"/>
      <sheetName val="CH"/>
      <sheetName val="Japan"/>
      <sheetName val="RoW"/>
      <sheetName val="GER"/>
      <sheetName val="UK"/>
      <sheetName val="FR"/>
      <sheetName val="RoE"/>
      <sheetName val="Data_Global"/>
      <sheetName val="Data_US"/>
      <sheetName val="Data_China"/>
      <sheetName val="Data_France"/>
      <sheetName val="Data_Japan"/>
      <sheetName val="Data_UK"/>
      <sheetName val="Data_Germany"/>
      <sheetName val="Data_RestOfEurope"/>
      <sheetName val="IM"/>
      <sheetName val="VMT distribution"/>
      <sheetName val="US IM"/>
      <sheetName val="China IM"/>
      <sheetName val="Germany IM"/>
      <sheetName val="UK IM"/>
      <sheetName val="France IM"/>
      <sheetName val="RoEurope IM"/>
      <sheetName val="Japan IM"/>
      <sheetName val="RoWorld IM"/>
      <sheetName val="VMT US"/>
      <sheetName val="VMT China"/>
      <sheetName val="VMT Germany"/>
      <sheetName val="VMT UK"/>
      <sheetName val="VMT France"/>
      <sheetName val="VMT RoEurope"/>
      <sheetName val="VMT Japan"/>
      <sheetName val="VMT RoWorld"/>
      <sheetName val="Bass Parameters_monthly"/>
      <sheetName val="Bass Parameters_quarterly_US"/>
      <sheetName val="Annual_Norway_EVonly"/>
      <sheetName val="Annual_Norway"/>
      <sheetName val="Quarterly_Norway"/>
      <sheetName val="Monthly_Norway"/>
      <sheetName val="Annual_US"/>
      <sheetName val="Quarterly_US"/>
      <sheetName val="Styles"/>
      <sheetName val="ExampleSheet"/>
      <sheetName val="AddInExamples"/>
      <sheetName val="VBA"/>
      <sheetName val="BNEF_2040_Outlook_May  2017_aut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Assumptions"/>
      <sheetName val="Summary Rate I"/>
      <sheetName val="Rate III Summary"/>
      <sheetName val="Calculations"/>
      <sheetName val="RE Model"/>
      <sheetName val="Estimated Bill SC 9 NYC"/>
      <sheetName val="Estimated Bill SC 9 Rate 3 NYC"/>
      <sheetName val="Diversity Comparison Rate I"/>
      <sheetName val="Diversity Comparison Rate III"/>
      <sheetName val="Sheet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rterly"/>
      <sheetName val="COVER"/>
      <sheetName val="Annual"/>
      <sheetName val="Data_NA"/>
      <sheetName val="Diesel data fit"/>
      <sheetName val="Styles"/>
      <sheetName val="ExampleSheet"/>
      <sheetName val="AddInExamples"/>
      <sheetName val="VB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structions"/>
      <sheetName val="Developer - User Inputs"/>
      <sheetName val="Developer Dashboard"/>
      <sheetName val="Utility - User Inputs"/>
      <sheetName val="Utility Dashboard"/>
      <sheetName val="Annual plug development"/>
      <sheetName val="BIR Analysis May 2020"/>
      <sheetName val="Revenue Analysis May 2020"/>
      <sheetName val="Capex and incentives"/>
      <sheetName val="Tariff Design"/>
      <sheetName val="Site Specific Profiles"/>
      <sheetName val="Dev. Constr. Schedule"/>
      <sheetName val="Developer Cash Flow"/>
      <sheetName val="Developer Debt Equity Schedule"/>
      <sheetName val="Income and tax Statement"/>
      <sheetName val="Energy Use, Costs, Parity Analy"/>
      <sheetName val="L2 New Business"/>
      <sheetName val="DCFC New Business"/>
      <sheetName val="Customer side MR"/>
      <sheetName val="Utility side MR (EDF)"/>
      <sheetName val="Site Prioritization"/>
      <sheetName val="EDF- RAW"/>
      <sheetName val="NYSERDA Pivot"/>
      <sheetName val="Summary of NYSERDA invoices"/>
      <sheetName val="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structions"/>
      <sheetName val="Developer - User Inputs"/>
      <sheetName val="Developer Dashboard"/>
      <sheetName val="Utility - User Inputs"/>
      <sheetName val="Utility Dashboard"/>
      <sheetName val="Annual plug development"/>
      <sheetName val="BIR Analysis May 2020"/>
      <sheetName val="Revenue Analysis May 2020"/>
      <sheetName val="Capex and incentives"/>
      <sheetName val="Tariff Design"/>
      <sheetName val="Site Specific Profiles"/>
      <sheetName val="Dev. Constr. Schedule"/>
      <sheetName val="Developer Cash Flow"/>
      <sheetName val="Developer Debt Equity Schedule"/>
      <sheetName val="Income and tax Statement"/>
      <sheetName val="Energy Use, Costs, Parity Analy"/>
      <sheetName val="L2 New Business"/>
      <sheetName val="DCFC New Business"/>
      <sheetName val="Customer side MR"/>
      <sheetName val="Utility side MR (EDF)"/>
      <sheetName val="Site Prioritization"/>
      <sheetName val="EDF- RAW"/>
      <sheetName val="NYSERDA Pivot"/>
      <sheetName val="Summary of NYSERDA invoices"/>
      <sheetName val="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WH"/>
      <sheetName val="Energy price"/>
    </sheetNames>
    <sheetDataSet>
      <sheetData sheetId="0" refreshError="1"/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A "/>
      <sheetName val="FIRM"/>
      <sheetName val="SPOT"/>
      <sheetName val="NUGS"/>
      <sheetName val="NYISO"/>
      <sheetName val="Misc."/>
      <sheetName val="Module1"/>
      <sheetName val="Module2"/>
      <sheetName val="Module3"/>
      <sheetName val="GAS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ing Data"/>
      <sheetName val="NYC Chart"/>
      <sheetName val="Hudson Valley"/>
      <sheetName val="PJM"/>
      <sheetName val="Historical On-Peak Prices"/>
      <sheetName val="Calc Sheet"/>
      <sheetName val="PJM Forward Curve"/>
      <sheetName val="$-Delta"/>
      <sheetName val="tables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Waterfall_1"/>
      <sheetName val="Waterfall_2"/>
      <sheetName val="Waterfall_3"/>
      <sheetName val="Waterfall_4"/>
      <sheetName val="Waterfall_5"/>
      <sheetName val="Waterfall_6"/>
      <sheetName val="Waterfall_7"/>
      <sheetName val="Waterfall_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v+count"/>
      <sheetName val="Sheet1"/>
      <sheetName val="Sheet2"/>
      <sheetName val="Sheet3"/>
    </sheetNames>
    <sheetDataSet>
      <sheetData sheetId="0"/>
      <sheetData sheetId="1"/>
      <sheetData sheetId="2"/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v+count"/>
      <sheetName val="Sheet1"/>
      <sheetName val="Sheet2"/>
      <sheetName val="Sheet3"/>
    </sheetNames>
    <sheetDataSet>
      <sheetData sheetId="0"/>
      <sheetData sheetId="1"/>
      <sheetData sheetId="2"/>
      <sheetData sheetId="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UGS"/>
      <sheetName val="Table A "/>
      <sheetName val="FIRM"/>
      <sheetName val="SPOT"/>
      <sheetName val="NYISO"/>
      <sheetName val="Misc."/>
      <sheetName val="Module1"/>
      <sheetName val="Module2"/>
      <sheetName val="Module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UGS"/>
      <sheetName val="Table A "/>
      <sheetName val="FIRM"/>
      <sheetName val="SPOT"/>
      <sheetName val="NYISO"/>
      <sheetName val="Misc."/>
      <sheetName val="Module1"/>
      <sheetName val="Module2"/>
      <sheetName val="Module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ion"/>
      <sheetName val="Plot"/>
      <sheetName val="Sensitivity"/>
      <sheetName val="O&amp;R NUGs 5 Year Forecast"/>
      <sheetName val="CPI"/>
      <sheetName val="Nymex"/>
      <sheetName val="Capacity"/>
      <sheetName val="Sithe"/>
      <sheetName val="BNY Capacity"/>
      <sheetName val="Linden O&amp;M"/>
      <sheetName val="Nymex (2)"/>
      <sheetName val="BNY Energy"/>
      <sheetName val="Linden Energy"/>
      <sheetName val="Linden Must Take"/>
      <sheetName val="BNY Summary"/>
      <sheetName val="BNY Forward Prices"/>
      <sheetName val="Selkirk"/>
      <sheetName val="Selkirk Demand Charges"/>
      <sheetName val="Selkirk Summary"/>
      <sheetName val="Indeck Calculations "/>
      <sheetName val="Indeck EAF"/>
      <sheetName val="Indeck Summary"/>
      <sheetName val="5 Year Forecast"/>
      <sheetName val="O&amp;R 5 Year Forecast"/>
      <sheetName val="CECONY NUGs 5 Year Forecast"/>
      <sheetName val="NUG Price Forecas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2009"/>
      <sheetName val="2010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  <sheetName val="2027"/>
      <sheetName val="2028"/>
      <sheetName val="2029"/>
      <sheetName val="203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2009"/>
      <sheetName val="2010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  <sheetName val="2027"/>
      <sheetName val="2028"/>
      <sheetName val="2029"/>
      <sheetName val="203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2009"/>
      <sheetName val="2010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  <sheetName val="2027"/>
      <sheetName val="2028"/>
      <sheetName val="2029"/>
      <sheetName val="203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1B930-EA64-4303-87BC-189436469B1A}">
  <sheetPr>
    <pageSetUpPr fitToPage="1"/>
  </sheetPr>
  <dimension ref="B1:P52"/>
  <sheetViews>
    <sheetView showGridLines="0" zoomScaleNormal="100" workbookViewId="0">
      <selection activeCell="D10" sqref="D10:D13"/>
    </sheetView>
  </sheetViews>
  <sheetFormatPr defaultRowHeight="15" x14ac:dyDescent="0.25"/>
  <cols>
    <col min="2" max="2" width="25.28515625" customWidth="1"/>
    <col min="3" max="3" width="31.5703125" customWidth="1"/>
    <col min="4" max="4" width="38.7109375" customWidth="1"/>
    <col min="5" max="5" width="18.42578125" customWidth="1"/>
    <col min="6" max="6" width="16.42578125" customWidth="1"/>
    <col min="7" max="7" width="15.7109375" customWidth="1"/>
    <col min="8" max="8" width="11.28515625" bestFit="1" customWidth="1"/>
    <col min="9" max="9" width="12.42578125" bestFit="1" customWidth="1"/>
    <col min="10" max="10" width="18.28515625" customWidth="1"/>
    <col min="14" max="14" width="37.42578125" customWidth="1"/>
    <col min="15" max="16" width="11.5703125" customWidth="1"/>
    <col min="17" max="17" width="12.42578125" customWidth="1"/>
  </cols>
  <sheetData>
    <row r="1" spans="2:11" ht="15.75" thickBot="1" x14ac:dyDescent="0.3"/>
    <row r="2" spans="2:11" x14ac:dyDescent="0.25">
      <c r="B2" s="12"/>
      <c r="C2" s="13"/>
      <c r="D2" s="13"/>
      <c r="E2" s="13"/>
      <c r="F2" s="13"/>
      <c r="G2" s="13"/>
      <c r="H2" s="13"/>
      <c r="I2" s="13"/>
      <c r="J2" s="13"/>
      <c r="K2" s="14"/>
    </row>
    <row r="3" spans="2:11" ht="18.75" x14ac:dyDescent="0.3">
      <c r="B3" s="15"/>
      <c r="C3" s="16" t="s">
        <v>0</v>
      </c>
      <c r="D3" s="16"/>
      <c r="E3" s="17"/>
      <c r="F3" s="17"/>
      <c r="G3" s="17"/>
      <c r="H3" s="17"/>
      <c r="I3" s="17"/>
      <c r="J3" s="17"/>
      <c r="K3" s="18"/>
    </row>
    <row r="4" spans="2:11" ht="18.75" x14ac:dyDescent="0.3">
      <c r="B4" s="9"/>
      <c r="C4" s="7"/>
      <c r="D4" s="7"/>
      <c r="E4" s="8"/>
      <c r="F4" s="8"/>
      <c r="G4" s="8"/>
      <c r="H4" s="8"/>
      <c r="I4" s="8"/>
      <c r="J4" s="8"/>
      <c r="K4" s="10"/>
    </row>
    <row r="5" spans="2:11" ht="30" x14ac:dyDescent="0.25">
      <c r="B5" s="2"/>
      <c r="C5" s="46" t="s">
        <v>1</v>
      </c>
      <c r="D5" s="37"/>
      <c r="E5" s="37"/>
      <c r="G5" s="20" t="s">
        <v>2</v>
      </c>
      <c r="H5" s="20" t="s">
        <v>3</v>
      </c>
      <c r="I5" s="19" t="s">
        <v>4</v>
      </c>
      <c r="J5" s="19" t="s">
        <v>5</v>
      </c>
      <c r="K5" s="3"/>
    </row>
    <row r="6" spans="2:11" x14ac:dyDescent="0.25">
      <c r="B6" s="2"/>
      <c r="C6" s="47" t="s">
        <v>6</v>
      </c>
      <c r="D6" s="38"/>
      <c r="E6" s="38"/>
      <c r="G6" s="40"/>
      <c r="H6" s="40"/>
      <c r="I6" s="40"/>
      <c r="J6" s="40"/>
      <c r="K6" s="3"/>
    </row>
    <row r="7" spans="2:11" x14ac:dyDescent="0.25">
      <c r="B7" s="2"/>
      <c r="C7" s="47" t="s">
        <v>7</v>
      </c>
      <c r="D7" s="38"/>
      <c r="E7" s="38"/>
      <c r="G7" s="40"/>
      <c r="H7" s="40"/>
      <c r="I7" s="40"/>
      <c r="J7" s="40"/>
      <c r="K7" s="3"/>
    </row>
    <row r="8" spans="2:11" x14ac:dyDescent="0.25">
      <c r="B8" s="2"/>
      <c r="K8" s="3"/>
    </row>
    <row r="9" spans="2:11" x14ac:dyDescent="0.25">
      <c r="B9" s="2"/>
      <c r="C9" s="1" t="s">
        <v>8</v>
      </c>
      <c r="D9" s="1"/>
      <c r="G9" s="1" t="s">
        <v>9</v>
      </c>
      <c r="H9" s="1"/>
      <c r="I9" s="1"/>
      <c r="J9" s="1"/>
      <c r="K9" s="3"/>
    </row>
    <row r="10" spans="2:11" ht="17.25" customHeight="1" x14ac:dyDescent="0.25">
      <c r="B10" s="2"/>
      <c r="C10" s="48" t="s">
        <v>10</v>
      </c>
      <c r="D10" s="39" t="s">
        <v>86</v>
      </c>
      <c r="E10" s="37"/>
      <c r="G10" s="69"/>
      <c r="H10" s="69"/>
      <c r="I10" s="69"/>
      <c r="J10" s="69"/>
      <c r="K10" s="3"/>
    </row>
    <row r="11" spans="2:11" x14ac:dyDescent="0.25">
      <c r="B11" s="2"/>
      <c r="C11" s="47" t="s">
        <v>11</v>
      </c>
      <c r="D11" s="38" t="s">
        <v>87</v>
      </c>
      <c r="E11" s="38"/>
      <c r="G11" s="23"/>
      <c r="H11" s="23"/>
      <c r="I11" s="23"/>
      <c r="J11" s="23"/>
      <c r="K11" s="3"/>
    </row>
    <row r="12" spans="2:11" x14ac:dyDescent="0.25">
      <c r="B12" s="2"/>
      <c r="C12" s="48" t="s">
        <v>12</v>
      </c>
      <c r="D12" s="39" t="s">
        <v>88</v>
      </c>
      <c r="E12" s="37"/>
      <c r="G12" s="1" t="s">
        <v>13</v>
      </c>
      <c r="K12" s="3"/>
    </row>
    <row r="13" spans="2:11" x14ac:dyDescent="0.25">
      <c r="B13" s="2"/>
      <c r="C13" s="47" t="s">
        <v>14</v>
      </c>
      <c r="D13" s="38" t="s">
        <v>89</v>
      </c>
      <c r="E13" s="38"/>
      <c r="G13" s="69"/>
      <c r="H13" s="69"/>
      <c r="I13" s="69"/>
      <c r="J13" s="69"/>
      <c r="K13" s="3"/>
    </row>
    <row r="14" spans="2:11" x14ac:dyDescent="0.25">
      <c r="B14" s="2"/>
      <c r="G14" s="1" t="s">
        <v>15</v>
      </c>
      <c r="K14" s="3"/>
    </row>
    <row r="15" spans="2:11" x14ac:dyDescent="0.25">
      <c r="B15" s="2"/>
      <c r="C15" s="1" t="s">
        <v>16</v>
      </c>
      <c r="D15" s="1"/>
      <c r="G15" s="69"/>
      <c r="H15" s="69"/>
      <c r="I15" s="69"/>
      <c r="J15" s="69"/>
      <c r="K15" s="3"/>
    </row>
    <row r="16" spans="2:11" x14ac:dyDescent="0.25">
      <c r="B16" s="2"/>
      <c r="C16" s="46" t="s">
        <v>17</v>
      </c>
      <c r="D16" s="49"/>
      <c r="E16" s="37"/>
      <c r="G16" s="1" t="s">
        <v>18</v>
      </c>
      <c r="K16" s="3"/>
    </row>
    <row r="17" spans="2:16" x14ac:dyDescent="0.25">
      <c r="B17" s="2"/>
      <c r="C17" s="47" t="s">
        <v>19</v>
      </c>
      <c r="D17" s="38"/>
      <c r="E17" s="45"/>
      <c r="G17" s="69"/>
      <c r="H17" s="69"/>
      <c r="I17" s="69"/>
      <c r="J17" s="69"/>
      <c r="K17" s="3"/>
    </row>
    <row r="18" spans="2:16" ht="15.75" thickBot="1" x14ac:dyDescent="0.3">
      <c r="B18" s="4"/>
      <c r="C18" s="5"/>
      <c r="D18" s="5"/>
      <c r="E18" s="5"/>
      <c r="F18" s="5"/>
      <c r="G18" s="5"/>
      <c r="H18" s="5"/>
      <c r="I18" s="5"/>
      <c r="J18" s="5"/>
      <c r="K18" s="6"/>
    </row>
    <row r="19" spans="2:16" ht="15.75" thickBot="1" x14ac:dyDescent="0.3"/>
    <row r="20" spans="2:16" x14ac:dyDescent="0.25">
      <c r="B20" s="12"/>
      <c r="C20" s="13"/>
      <c r="D20" s="13"/>
      <c r="E20" s="13"/>
      <c r="F20" s="13"/>
      <c r="G20" s="13"/>
      <c r="H20" s="14"/>
      <c r="I20" s="8"/>
      <c r="J20" s="8"/>
      <c r="K20" s="8"/>
    </row>
    <row r="21" spans="2:16" ht="18.75" x14ac:dyDescent="0.3">
      <c r="B21" s="15"/>
      <c r="C21" s="16" t="s">
        <v>20</v>
      </c>
      <c r="D21" s="16"/>
      <c r="E21" s="17"/>
      <c r="F21" s="17"/>
      <c r="G21" s="17"/>
      <c r="H21" s="18"/>
      <c r="I21" s="8"/>
      <c r="J21" s="8"/>
      <c r="K21" s="8"/>
    </row>
    <row r="22" spans="2:16" ht="18.75" x14ac:dyDescent="0.3">
      <c r="B22" s="9"/>
      <c r="C22" s="7"/>
      <c r="D22" s="7"/>
      <c r="E22" s="8"/>
      <c r="F22" s="8"/>
      <c r="G22" s="8"/>
      <c r="H22" s="3"/>
      <c r="I22" s="8"/>
      <c r="J22" s="8"/>
    </row>
    <row r="23" spans="2:16" ht="31.5" x14ac:dyDescent="0.25">
      <c r="B23" s="25" t="s">
        <v>21</v>
      </c>
      <c r="C23" s="11" t="s">
        <v>22</v>
      </c>
      <c r="D23" s="11" t="s">
        <v>23</v>
      </c>
      <c r="E23" s="11" t="s">
        <v>24</v>
      </c>
      <c r="F23" s="11" t="s">
        <v>25</v>
      </c>
      <c r="G23" s="11" t="s">
        <v>26</v>
      </c>
      <c r="H23" s="3"/>
    </row>
    <row r="24" spans="2:16" ht="15.6" customHeight="1" x14ac:dyDescent="0.25">
      <c r="B24" s="30" t="s">
        <v>27</v>
      </c>
      <c r="C24" s="41" t="s">
        <v>28</v>
      </c>
      <c r="D24" s="42"/>
      <c r="E24" s="43">
        <f>SUM(E25:E34)</f>
        <v>0</v>
      </c>
      <c r="F24" s="43">
        <f>SUM(F25:F34)</f>
        <v>0</v>
      </c>
      <c r="G24" s="43">
        <f>SUM(G25:G34)</f>
        <v>0</v>
      </c>
      <c r="H24" s="3"/>
    </row>
    <row r="25" spans="2:16" ht="15.75" customHeight="1" x14ac:dyDescent="0.25">
      <c r="B25" s="70" t="s">
        <v>29</v>
      </c>
      <c r="C25" s="21" t="s">
        <v>30</v>
      </c>
      <c r="D25" s="32"/>
      <c r="E25" s="35"/>
      <c r="F25" s="35"/>
      <c r="G25" s="36">
        <f t="shared" ref="G25:G34" si="0">E25+F25</f>
        <v>0</v>
      </c>
      <c r="H25" s="3"/>
    </row>
    <row r="26" spans="2:16" x14ac:dyDescent="0.25">
      <c r="B26" s="70"/>
      <c r="C26" s="21" t="s">
        <v>31</v>
      </c>
      <c r="D26" s="32"/>
      <c r="E26" s="35"/>
      <c r="F26" s="35"/>
      <c r="G26" s="36">
        <f t="shared" si="0"/>
        <v>0</v>
      </c>
      <c r="H26" s="3"/>
    </row>
    <row r="27" spans="2:16" ht="29.1" customHeight="1" x14ac:dyDescent="0.25">
      <c r="B27" s="70"/>
      <c r="C27" s="21" t="s">
        <v>32</v>
      </c>
      <c r="D27" s="32"/>
      <c r="E27" s="35"/>
      <c r="F27" s="35"/>
      <c r="G27" s="36">
        <f t="shared" si="0"/>
        <v>0</v>
      </c>
      <c r="H27" s="3"/>
    </row>
    <row r="28" spans="2:16" ht="15.6" customHeight="1" x14ac:dyDescent="0.25">
      <c r="B28" s="70"/>
      <c r="C28" s="21" t="s">
        <v>33</v>
      </c>
      <c r="D28" s="32"/>
      <c r="E28" s="35"/>
      <c r="F28" s="35"/>
      <c r="G28" s="36">
        <f t="shared" si="0"/>
        <v>0</v>
      </c>
      <c r="H28" s="3"/>
    </row>
    <row r="29" spans="2:16" ht="15.6" customHeight="1" x14ac:dyDescent="0.25">
      <c r="B29" s="70"/>
      <c r="C29" s="21" t="s">
        <v>34</v>
      </c>
      <c r="D29" s="32"/>
      <c r="E29" s="35"/>
      <c r="F29" s="35"/>
      <c r="G29" s="36">
        <f t="shared" si="0"/>
        <v>0</v>
      </c>
      <c r="H29" s="3"/>
    </row>
    <row r="30" spans="2:16" x14ac:dyDescent="0.25">
      <c r="B30" s="70"/>
      <c r="C30" s="21" t="s">
        <v>35</v>
      </c>
      <c r="D30" s="32"/>
      <c r="E30" s="35"/>
      <c r="F30" s="35"/>
      <c r="G30" s="36">
        <f t="shared" si="0"/>
        <v>0</v>
      </c>
      <c r="H30" s="3"/>
      <c r="P30" t="s">
        <v>36</v>
      </c>
    </row>
    <row r="31" spans="2:16" ht="15.6" customHeight="1" x14ac:dyDescent="0.25">
      <c r="B31" s="70"/>
      <c r="C31" s="21" t="s">
        <v>37</v>
      </c>
      <c r="D31" s="32"/>
      <c r="E31" s="35"/>
      <c r="F31" s="35"/>
      <c r="G31" s="36">
        <f t="shared" si="0"/>
        <v>0</v>
      </c>
      <c r="H31" s="3"/>
    </row>
    <row r="32" spans="2:16" ht="15.6" customHeight="1" x14ac:dyDescent="0.25">
      <c r="B32" s="70"/>
      <c r="C32" s="21" t="s">
        <v>38</v>
      </c>
      <c r="D32" s="32"/>
      <c r="E32" s="35"/>
      <c r="F32" s="35"/>
      <c r="G32" s="36">
        <f t="shared" si="0"/>
        <v>0</v>
      </c>
      <c r="H32" s="3"/>
    </row>
    <row r="33" spans="2:8" x14ac:dyDescent="0.25">
      <c r="B33" s="70"/>
      <c r="C33" s="21" t="s">
        <v>39</v>
      </c>
      <c r="D33" s="32"/>
      <c r="E33" s="35"/>
      <c r="F33" s="35"/>
      <c r="G33" s="36">
        <f t="shared" si="0"/>
        <v>0</v>
      </c>
      <c r="H33" s="3"/>
    </row>
    <row r="34" spans="2:8" ht="15.6" customHeight="1" x14ac:dyDescent="0.25">
      <c r="B34" s="70"/>
      <c r="C34" s="22" t="s">
        <v>40</v>
      </c>
      <c r="D34" s="32"/>
      <c r="E34" s="35"/>
      <c r="F34" s="35"/>
      <c r="G34" s="36">
        <f t="shared" si="0"/>
        <v>0</v>
      </c>
      <c r="H34" s="3"/>
    </row>
    <row r="35" spans="2:8" ht="31.5" x14ac:dyDescent="0.25">
      <c r="B35" s="31" t="s">
        <v>41</v>
      </c>
      <c r="C35" s="41" t="s">
        <v>42</v>
      </c>
      <c r="D35" s="42"/>
      <c r="E35" s="43">
        <f>SUM(E36:E40)</f>
        <v>0</v>
      </c>
      <c r="F35" s="43">
        <f>SUM(F36:F40)</f>
        <v>0</v>
      </c>
      <c r="G35" s="43">
        <f>SUM(G36:G40)</f>
        <v>0</v>
      </c>
      <c r="H35" s="3"/>
    </row>
    <row r="36" spans="2:8" ht="15.6" customHeight="1" x14ac:dyDescent="0.25">
      <c r="B36" s="29"/>
      <c r="C36" s="21" t="s">
        <v>38</v>
      </c>
      <c r="D36" s="32"/>
      <c r="E36" s="35"/>
      <c r="F36" s="35"/>
      <c r="G36" s="36">
        <f t="shared" ref="G36:G44" si="1">E36+F36</f>
        <v>0</v>
      </c>
      <c r="H36" s="3"/>
    </row>
    <row r="37" spans="2:8" x14ac:dyDescent="0.25">
      <c r="B37" s="29"/>
      <c r="C37" s="21" t="s">
        <v>35</v>
      </c>
      <c r="D37" s="32"/>
      <c r="E37" s="35"/>
      <c r="F37" s="35"/>
      <c r="G37" s="36">
        <f t="shared" si="1"/>
        <v>0</v>
      </c>
      <c r="H37" s="3"/>
    </row>
    <row r="38" spans="2:8" ht="15.6" customHeight="1" x14ac:dyDescent="0.25">
      <c r="B38" s="29"/>
      <c r="C38" s="21" t="s">
        <v>37</v>
      </c>
      <c r="D38" s="32"/>
      <c r="E38" s="35"/>
      <c r="F38" s="35"/>
      <c r="G38" s="36">
        <f t="shared" si="1"/>
        <v>0</v>
      </c>
      <c r="H38" s="3"/>
    </row>
    <row r="39" spans="2:8" ht="15.6" customHeight="1" x14ac:dyDescent="0.25">
      <c r="B39" s="29"/>
      <c r="C39" s="21" t="s">
        <v>43</v>
      </c>
      <c r="D39" s="32"/>
      <c r="E39" s="35"/>
      <c r="F39" s="35"/>
      <c r="G39" s="36">
        <f t="shared" si="1"/>
        <v>0</v>
      </c>
      <c r="H39" s="3"/>
    </row>
    <row r="40" spans="2:8" ht="15.6" customHeight="1" x14ac:dyDescent="0.25">
      <c r="B40" s="29"/>
      <c r="C40" s="22" t="s">
        <v>40</v>
      </c>
      <c r="D40" s="32"/>
      <c r="E40" s="35"/>
      <c r="F40" s="35"/>
      <c r="G40" s="36">
        <f t="shared" si="1"/>
        <v>0</v>
      </c>
      <c r="H40" s="3"/>
    </row>
    <row r="41" spans="2:8" ht="15.75" x14ac:dyDescent="0.25">
      <c r="B41" s="30" t="s">
        <v>44</v>
      </c>
      <c r="C41" s="41" t="s">
        <v>45</v>
      </c>
      <c r="D41" s="42"/>
      <c r="E41" s="43">
        <f>SUM(E42:E47)</f>
        <v>0</v>
      </c>
      <c r="F41" s="43">
        <f>SUM(F42:F47)</f>
        <v>0</v>
      </c>
      <c r="G41" s="43">
        <f>SUM(G42:G47)</f>
        <v>0</v>
      </c>
      <c r="H41" s="3"/>
    </row>
    <row r="42" spans="2:8" ht="15.6" customHeight="1" x14ac:dyDescent="0.25">
      <c r="B42" s="29"/>
      <c r="C42" s="21" t="s">
        <v>46</v>
      </c>
      <c r="D42" s="32"/>
      <c r="E42" s="35"/>
      <c r="F42" s="35"/>
      <c r="G42" s="36">
        <f t="shared" si="1"/>
        <v>0</v>
      </c>
      <c r="H42" s="3"/>
    </row>
    <row r="43" spans="2:8" ht="15.6" customHeight="1" x14ac:dyDescent="0.25">
      <c r="B43" s="29"/>
      <c r="C43" s="21" t="s">
        <v>47</v>
      </c>
      <c r="D43" s="32"/>
      <c r="E43" s="35"/>
      <c r="F43" s="35"/>
      <c r="G43" s="36">
        <f t="shared" si="1"/>
        <v>0</v>
      </c>
      <c r="H43" s="3"/>
    </row>
    <row r="44" spans="2:8" x14ac:dyDescent="0.25">
      <c r="B44" s="29"/>
      <c r="C44" s="21" t="s">
        <v>48</v>
      </c>
      <c r="D44" s="32"/>
      <c r="E44" s="35"/>
      <c r="F44" s="35"/>
      <c r="G44" s="36">
        <f t="shared" si="1"/>
        <v>0</v>
      </c>
      <c r="H44" s="3"/>
    </row>
    <row r="45" spans="2:8" ht="15.6" customHeight="1" x14ac:dyDescent="0.25">
      <c r="B45" s="29"/>
      <c r="C45" s="21" t="s">
        <v>49</v>
      </c>
      <c r="D45" s="32"/>
      <c r="E45" s="35"/>
      <c r="F45" s="35"/>
      <c r="G45" s="36">
        <f t="shared" ref="G45:G47" si="2">E45+F45</f>
        <v>0</v>
      </c>
      <c r="H45" s="3"/>
    </row>
    <row r="46" spans="2:8" ht="15.6" customHeight="1" x14ac:dyDescent="0.25">
      <c r="B46" s="29"/>
      <c r="C46" s="22" t="s">
        <v>50</v>
      </c>
      <c r="D46" s="33"/>
      <c r="E46" s="35"/>
      <c r="F46" s="35"/>
      <c r="G46" s="36">
        <f t="shared" si="2"/>
        <v>0</v>
      </c>
      <c r="H46" s="3"/>
    </row>
    <row r="47" spans="2:8" ht="15.6" customHeight="1" x14ac:dyDescent="0.25">
      <c r="B47" s="29"/>
      <c r="C47" s="22" t="s">
        <v>40</v>
      </c>
      <c r="D47" s="33"/>
      <c r="E47" s="35"/>
      <c r="F47" s="35"/>
      <c r="G47" s="36">
        <f t="shared" si="2"/>
        <v>0</v>
      </c>
      <c r="H47" s="3"/>
    </row>
    <row r="48" spans="2:8" ht="15.6" customHeight="1" x14ac:dyDescent="0.25">
      <c r="B48" s="30" t="s">
        <v>51</v>
      </c>
      <c r="C48" s="41" t="s">
        <v>52</v>
      </c>
      <c r="D48" s="42"/>
      <c r="E48" s="43">
        <f>E24+E35+E41</f>
        <v>0</v>
      </c>
      <c r="F48" s="43">
        <f>F24+F35+F41</f>
        <v>0</v>
      </c>
      <c r="G48" s="43">
        <f>G24+G35+G41</f>
        <v>0</v>
      </c>
      <c r="H48" s="3"/>
    </row>
    <row r="49" spans="2:8" ht="15.6" customHeight="1" thickBot="1" x14ac:dyDescent="0.3">
      <c r="B49" s="4"/>
      <c r="C49" s="5"/>
      <c r="D49" s="5"/>
      <c r="E49" s="5"/>
      <c r="F49" s="5"/>
      <c r="G49" s="5"/>
      <c r="H49" s="6"/>
    </row>
    <row r="50" spans="2:8" ht="15.6" customHeight="1" x14ac:dyDescent="0.25"/>
    <row r="51" spans="2:8" ht="15.6" customHeight="1" x14ac:dyDescent="0.25"/>
    <row r="52" spans="2:8" ht="15.6" customHeight="1" x14ac:dyDescent="0.25">
      <c r="B52" s="27"/>
    </row>
  </sheetData>
  <sheetProtection algorithmName="SHA-512" hashValue="/E2XxmlC1vEsI7xvSggndbQRNpJ6cOg0m9Mbk7YqMwox/72I22XzSDiksCOf3uSFBje9OFj8UFxpa0Apq5BMlw==" saltValue="SL0Z26tOYXJL/itJ1uuH9Q==" spinCount="100000" sheet="1" objects="1" scenarios="1"/>
  <mergeCells count="6">
    <mergeCell ref="G10:J10"/>
    <mergeCell ref="B25:B32"/>
    <mergeCell ref="B33:B34"/>
    <mergeCell ref="G13:J13"/>
    <mergeCell ref="G15:J15"/>
    <mergeCell ref="G17:J17"/>
  </mergeCells>
  <pageMargins left="0" right="0" top="0" bottom="0" header="0" footer="0.55000000000000004"/>
  <pageSetup scale="72" fitToWidth="0" orientation="landscape" horizontalDpi="1200" verticalDpi="1200" r:id="rId1"/>
  <headerFooter>
    <oddFooter>&amp;C&amp;1#&amp;"Calibri"&amp;12&amp;K008000Internal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FF187-577C-4500-8AA5-BC2740E6B1CE}">
  <dimension ref="B1:P53"/>
  <sheetViews>
    <sheetView workbookViewId="0">
      <selection activeCell="D10" sqref="D10:D13"/>
    </sheetView>
  </sheetViews>
  <sheetFormatPr defaultRowHeight="15" x14ac:dyDescent="0.25"/>
  <cols>
    <col min="2" max="2" width="18.5703125" customWidth="1"/>
    <col min="3" max="3" width="31.5703125" customWidth="1"/>
    <col min="4" max="4" width="38.7109375" customWidth="1"/>
    <col min="5" max="5" width="18.42578125" customWidth="1"/>
    <col min="6" max="6" width="16" customWidth="1"/>
    <col min="7" max="7" width="17" customWidth="1"/>
    <col min="8" max="8" width="12.42578125" bestFit="1" customWidth="1"/>
    <col min="9" max="9" width="18.28515625" customWidth="1"/>
    <col min="13" max="13" width="37.42578125" customWidth="1"/>
    <col min="14" max="15" width="11.5703125" customWidth="1"/>
    <col min="16" max="16" width="12.42578125" customWidth="1"/>
  </cols>
  <sheetData>
    <row r="1" spans="2:10" ht="15.75" thickBot="1" x14ac:dyDescent="0.3"/>
    <row r="2" spans="2:10" x14ac:dyDescent="0.25">
      <c r="B2" s="12"/>
      <c r="C2" s="13"/>
      <c r="D2" s="13"/>
      <c r="E2" s="13"/>
      <c r="F2" s="13"/>
      <c r="G2" s="13"/>
      <c r="H2" s="13"/>
      <c r="I2" s="13"/>
      <c r="J2" s="14"/>
    </row>
    <row r="3" spans="2:10" ht="18.75" x14ac:dyDescent="0.3">
      <c r="B3" s="15"/>
      <c r="C3" s="16" t="s">
        <v>0</v>
      </c>
      <c r="D3" s="16"/>
      <c r="E3" s="17"/>
      <c r="F3" s="17"/>
      <c r="G3" s="17"/>
      <c r="H3" s="17"/>
      <c r="I3" s="17"/>
      <c r="J3" s="18"/>
    </row>
    <row r="4" spans="2:10" ht="18.75" x14ac:dyDescent="0.3">
      <c r="B4" s="9"/>
      <c r="C4" s="7"/>
      <c r="D4" s="7"/>
      <c r="E4" s="8"/>
      <c r="F4" s="8"/>
      <c r="G4" s="8"/>
      <c r="H4" s="8"/>
      <c r="I4" s="8"/>
      <c r="J4" s="10"/>
    </row>
    <row r="5" spans="2:10" ht="30" x14ac:dyDescent="0.25">
      <c r="B5" s="2"/>
      <c r="C5" s="46" t="s">
        <v>1</v>
      </c>
      <c r="D5" s="37"/>
      <c r="E5" s="37"/>
      <c r="F5" s="20" t="s">
        <v>53</v>
      </c>
      <c r="G5" s="20" t="s">
        <v>3</v>
      </c>
      <c r="H5" s="19" t="s">
        <v>4</v>
      </c>
      <c r="I5" s="19" t="s">
        <v>5</v>
      </c>
      <c r="J5" s="3"/>
    </row>
    <row r="6" spans="2:10" x14ac:dyDescent="0.25">
      <c r="B6" s="2"/>
      <c r="C6" s="47" t="s">
        <v>6</v>
      </c>
      <c r="D6" s="38"/>
      <c r="E6" s="38"/>
      <c r="F6" s="40"/>
      <c r="G6" s="40"/>
      <c r="H6" s="40"/>
      <c r="I6" s="40"/>
      <c r="J6" s="3"/>
    </row>
    <row r="7" spans="2:10" x14ac:dyDescent="0.25">
      <c r="B7" s="2"/>
      <c r="C7" s="47" t="s">
        <v>7</v>
      </c>
      <c r="D7" s="38"/>
      <c r="E7" s="38"/>
      <c r="F7" s="40"/>
      <c r="G7" s="40"/>
      <c r="H7" s="40"/>
      <c r="I7" s="40"/>
      <c r="J7" s="3"/>
    </row>
    <row r="8" spans="2:10" x14ac:dyDescent="0.25">
      <c r="B8" s="2"/>
      <c r="J8" s="3"/>
    </row>
    <row r="9" spans="2:10" x14ac:dyDescent="0.25">
      <c r="B9" s="2"/>
      <c r="C9" s="1" t="s">
        <v>8</v>
      </c>
      <c r="D9" s="1"/>
      <c r="F9" s="1" t="s">
        <v>9</v>
      </c>
      <c r="G9" s="1"/>
      <c r="H9" s="1"/>
      <c r="I9" s="1"/>
      <c r="J9" s="3"/>
    </row>
    <row r="10" spans="2:10" ht="17.25" customHeight="1" x14ac:dyDescent="0.25">
      <c r="B10" s="2"/>
      <c r="C10" s="48" t="s">
        <v>10</v>
      </c>
      <c r="D10" s="39" t="s">
        <v>86</v>
      </c>
      <c r="E10" s="37"/>
      <c r="F10" s="69"/>
      <c r="G10" s="69"/>
      <c r="H10" s="69"/>
      <c r="I10" s="69"/>
      <c r="J10" s="3"/>
    </row>
    <row r="11" spans="2:10" x14ac:dyDescent="0.25">
      <c r="B11" s="2"/>
      <c r="C11" s="47" t="s">
        <v>11</v>
      </c>
      <c r="D11" s="38" t="s">
        <v>87</v>
      </c>
      <c r="E11" s="38"/>
      <c r="F11" s="23"/>
      <c r="G11" s="23"/>
      <c r="H11" s="23"/>
      <c r="I11" s="23"/>
      <c r="J11" s="3"/>
    </row>
    <row r="12" spans="2:10" x14ac:dyDescent="0.25">
      <c r="B12" s="2"/>
      <c r="C12" s="48" t="s">
        <v>12</v>
      </c>
      <c r="D12" s="39" t="s">
        <v>88</v>
      </c>
      <c r="E12" s="37"/>
      <c r="F12" s="1" t="s">
        <v>13</v>
      </c>
      <c r="J12" s="3"/>
    </row>
    <row r="13" spans="2:10" x14ac:dyDescent="0.25">
      <c r="B13" s="2"/>
      <c r="C13" s="47" t="s">
        <v>14</v>
      </c>
      <c r="D13" s="38" t="s">
        <v>89</v>
      </c>
      <c r="E13" s="38"/>
      <c r="F13" s="69"/>
      <c r="G13" s="69"/>
      <c r="H13" s="69"/>
      <c r="I13" s="69"/>
      <c r="J13" s="3"/>
    </row>
    <row r="14" spans="2:10" x14ac:dyDescent="0.25">
      <c r="B14" s="2"/>
      <c r="F14" s="1" t="s">
        <v>15</v>
      </c>
      <c r="J14" s="3"/>
    </row>
    <row r="15" spans="2:10" x14ac:dyDescent="0.25">
      <c r="B15" s="2"/>
      <c r="C15" s="1" t="s">
        <v>16</v>
      </c>
      <c r="D15" s="1"/>
      <c r="F15" s="69"/>
      <c r="G15" s="69"/>
      <c r="H15" s="69"/>
      <c r="I15" s="69"/>
      <c r="J15" s="3"/>
    </row>
    <row r="16" spans="2:10" x14ac:dyDescent="0.25">
      <c r="B16" s="2"/>
      <c r="C16" s="46" t="s">
        <v>17</v>
      </c>
      <c r="D16" s="37"/>
      <c r="E16" s="37"/>
      <c r="F16" s="1" t="s">
        <v>18</v>
      </c>
      <c r="J16" s="3"/>
    </row>
    <row r="17" spans="2:16" x14ac:dyDescent="0.25">
      <c r="B17" s="2"/>
      <c r="C17" s="47" t="s">
        <v>19</v>
      </c>
      <c r="D17" s="38"/>
      <c r="E17" s="45"/>
      <c r="F17" s="69"/>
      <c r="G17" s="69"/>
      <c r="H17" s="69"/>
      <c r="I17" s="69"/>
      <c r="J17" s="3"/>
    </row>
    <row r="18" spans="2:16" ht="15.75" thickBot="1" x14ac:dyDescent="0.3">
      <c r="B18" s="4"/>
      <c r="C18" s="5"/>
      <c r="D18" s="5"/>
      <c r="E18" s="5"/>
      <c r="F18" s="5"/>
      <c r="G18" s="5"/>
      <c r="H18" s="5"/>
      <c r="I18" s="5"/>
      <c r="J18" s="6"/>
    </row>
    <row r="19" spans="2:16" ht="15.75" thickBot="1" x14ac:dyDescent="0.3"/>
    <row r="20" spans="2:16" x14ac:dyDescent="0.25">
      <c r="B20" s="12"/>
      <c r="C20" s="13"/>
      <c r="D20" s="13"/>
      <c r="E20" s="13"/>
      <c r="F20" s="13"/>
      <c r="G20" s="13"/>
      <c r="H20" s="14"/>
      <c r="I20" s="8"/>
      <c r="J20" s="8"/>
      <c r="K20" s="8"/>
    </row>
    <row r="21" spans="2:16" ht="18.75" x14ac:dyDescent="0.3">
      <c r="B21" s="15"/>
      <c r="C21" s="16" t="s">
        <v>20</v>
      </c>
      <c r="D21" s="16"/>
      <c r="E21" s="17"/>
      <c r="F21" s="17"/>
      <c r="G21" s="17"/>
      <c r="H21" s="18"/>
      <c r="I21" s="8"/>
      <c r="J21" s="8"/>
      <c r="K21" s="8"/>
    </row>
    <row r="22" spans="2:16" ht="18.75" x14ac:dyDescent="0.3">
      <c r="B22" s="9"/>
      <c r="C22" s="7"/>
      <c r="D22" s="7"/>
      <c r="E22" s="8"/>
      <c r="F22" s="8"/>
      <c r="G22" s="8"/>
      <c r="H22" s="3"/>
      <c r="I22" s="8"/>
      <c r="J22" s="8"/>
    </row>
    <row r="23" spans="2:16" ht="31.5" x14ac:dyDescent="0.25">
      <c r="B23" s="26" t="s">
        <v>21</v>
      </c>
      <c r="C23" s="11" t="s">
        <v>22</v>
      </c>
      <c r="D23" s="11" t="s">
        <v>23</v>
      </c>
      <c r="E23" s="11" t="s">
        <v>54</v>
      </c>
      <c r="F23" s="11" t="s">
        <v>25</v>
      </c>
      <c r="G23" s="11" t="s">
        <v>55</v>
      </c>
      <c r="H23" s="3"/>
    </row>
    <row r="24" spans="2:16" ht="15.75" x14ac:dyDescent="0.25">
      <c r="B24" s="24" t="s">
        <v>56</v>
      </c>
      <c r="C24" s="41" t="s">
        <v>28</v>
      </c>
      <c r="D24" s="42"/>
      <c r="E24" s="43">
        <f>SUM(E25:E34)</f>
        <v>0</v>
      </c>
      <c r="F24" s="44">
        <f>SUM(F25:F34)</f>
        <v>0</v>
      </c>
      <c r="G24" s="44">
        <f>SUM(G25:G34)</f>
        <v>0</v>
      </c>
      <c r="H24" s="3"/>
    </row>
    <row r="25" spans="2:16" ht="15.4" customHeight="1" x14ac:dyDescent="0.25">
      <c r="B25" s="71" t="s">
        <v>29</v>
      </c>
      <c r="C25" s="21" t="s">
        <v>30</v>
      </c>
      <c r="D25" s="32"/>
      <c r="E25" s="35"/>
      <c r="F25" s="34"/>
      <c r="G25" s="36">
        <f t="shared" ref="G25:G34" si="0">E25+F25</f>
        <v>0</v>
      </c>
      <c r="H25" s="3"/>
    </row>
    <row r="26" spans="2:16" ht="15.75" x14ac:dyDescent="0.25">
      <c r="B26" s="71"/>
      <c r="C26" s="21" t="s">
        <v>31</v>
      </c>
      <c r="D26" s="32"/>
      <c r="E26" s="35"/>
      <c r="F26" s="34"/>
      <c r="G26" s="36">
        <f t="shared" si="0"/>
        <v>0</v>
      </c>
      <c r="H26" s="3"/>
    </row>
    <row r="27" spans="2:16" ht="30" x14ac:dyDescent="0.25">
      <c r="B27" s="71"/>
      <c r="C27" s="21" t="s">
        <v>32</v>
      </c>
      <c r="D27" s="32"/>
      <c r="E27" s="35"/>
      <c r="F27" s="34"/>
      <c r="G27" s="36">
        <f t="shared" si="0"/>
        <v>0</v>
      </c>
      <c r="H27" s="3"/>
    </row>
    <row r="28" spans="2:16" x14ac:dyDescent="0.25">
      <c r="B28" s="71"/>
      <c r="C28" s="21" t="s">
        <v>33</v>
      </c>
      <c r="D28" s="32"/>
      <c r="E28" s="35"/>
      <c r="F28" s="35"/>
      <c r="G28" s="36">
        <f t="shared" si="0"/>
        <v>0</v>
      </c>
      <c r="H28" s="3"/>
    </row>
    <row r="29" spans="2:16" x14ac:dyDescent="0.25">
      <c r="B29" s="71"/>
      <c r="C29" s="21" t="s">
        <v>34</v>
      </c>
      <c r="D29" s="32"/>
      <c r="E29" s="35"/>
      <c r="F29" s="35"/>
      <c r="G29" s="36">
        <f t="shared" si="0"/>
        <v>0</v>
      </c>
      <c r="H29" s="3"/>
    </row>
    <row r="30" spans="2:16" x14ac:dyDescent="0.25">
      <c r="B30" s="71"/>
      <c r="C30" s="21" t="s">
        <v>35</v>
      </c>
      <c r="D30" s="32"/>
      <c r="E30" s="35"/>
      <c r="F30" s="35"/>
      <c r="G30" s="36">
        <f t="shared" si="0"/>
        <v>0</v>
      </c>
      <c r="H30" s="3"/>
      <c r="P30" t="s">
        <v>36</v>
      </c>
    </row>
    <row r="31" spans="2:16" x14ac:dyDescent="0.25">
      <c r="B31" s="71"/>
      <c r="C31" s="21" t="s">
        <v>37</v>
      </c>
      <c r="D31" s="32"/>
      <c r="E31" s="35"/>
      <c r="F31" s="35"/>
      <c r="G31" s="36">
        <f t="shared" si="0"/>
        <v>0</v>
      </c>
      <c r="H31" s="3"/>
    </row>
    <row r="32" spans="2:16" ht="15.6" customHeight="1" x14ac:dyDescent="0.25">
      <c r="B32" s="71"/>
      <c r="C32" s="21" t="s">
        <v>38</v>
      </c>
      <c r="D32" s="32"/>
      <c r="E32" s="35"/>
      <c r="F32" s="35"/>
      <c r="G32" s="36">
        <f t="shared" ref="G32:G33" si="1">E32+F32</f>
        <v>0</v>
      </c>
      <c r="H32" s="3"/>
    </row>
    <row r="33" spans="2:8" x14ac:dyDescent="0.25">
      <c r="B33" s="71"/>
      <c r="C33" s="21" t="s">
        <v>39</v>
      </c>
      <c r="D33" s="32"/>
      <c r="E33" s="35"/>
      <c r="F33" s="35"/>
      <c r="G33" s="36">
        <f t="shared" si="1"/>
        <v>0</v>
      </c>
      <c r="H33" s="3"/>
    </row>
    <row r="34" spans="2:8" x14ac:dyDescent="0.25">
      <c r="B34" s="71"/>
      <c r="C34" s="21" t="s">
        <v>40</v>
      </c>
      <c r="D34" s="32"/>
      <c r="E34" s="35"/>
      <c r="F34" s="35"/>
      <c r="G34" s="36">
        <f t="shared" si="0"/>
        <v>0</v>
      </c>
      <c r="H34" s="3"/>
    </row>
    <row r="35" spans="2:8" ht="31.5" x14ac:dyDescent="0.25">
      <c r="B35" s="24" t="s">
        <v>57</v>
      </c>
      <c r="C35" s="41" t="s">
        <v>42</v>
      </c>
      <c r="D35" s="42"/>
      <c r="E35" s="43">
        <f>SUM(E36:E40)</f>
        <v>0</v>
      </c>
      <c r="F35" s="44">
        <f>SUM(F36:F40)</f>
        <v>0</v>
      </c>
      <c r="G35" s="44">
        <f>SUM(G36:G40)</f>
        <v>0</v>
      </c>
      <c r="H35" s="3"/>
    </row>
    <row r="36" spans="2:8" ht="15.6" customHeight="1" x14ac:dyDescent="0.25">
      <c r="B36" s="28"/>
      <c r="C36" s="21" t="s">
        <v>38</v>
      </c>
      <c r="D36" s="32"/>
      <c r="E36" s="35"/>
      <c r="F36" s="35"/>
      <c r="G36" s="36">
        <f t="shared" ref="G36:G47" si="2">E36+F36</f>
        <v>0</v>
      </c>
      <c r="H36" s="3"/>
    </row>
    <row r="37" spans="2:8" ht="15.6" customHeight="1" x14ac:dyDescent="0.25">
      <c r="B37" s="28"/>
      <c r="C37" s="21" t="s">
        <v>35</v>
      </c>
      <c r="D37" s="32"/>
      <c r="E37" s="35"/>
      <c r="F37" s="35"/>
      <c r="G37" s="36">
        <f t="shared" si="2"/>
        <v>0</v>
      </c>
      <c r="H37" s="3"/>
    </row>
    <row r="38" spans="2:8" ht="33" customHeight="1" x14ac:dyDescent="0.25">
      <c r="B38" s="28"/>
      <c r="C38" s="21" t="s">
        <v>37</v>
      </c>
      <c r="D38" s="32"/>
      <c r="E38" s="35"/>
      <c r="F38" s="35"/>
      <c r="G38" s="36">
        <f t="shared" si="2"/>
        <v>0</v>
      </c>
      <c r="H38" s="3"/>
    </row>
    <row r="39" spans="2:8" ht="15.6" customHeight="1" x14ac:dyDescent="0.25">
      <c r="B39" s="28"/>
      <c r="C39" s="21" t="s">
        <v>30</v>
      </c>
      <c r="D39" s="32"/>
      <c r="E39" s="35"/>
      <c r="F39" s="35"/>
      <c r="G39" s="36">
        <f t="shared" si="2"/>
        <v>0</v>
      </c>
      <c r="H39" s="3"/>
    </row>
    <row r="40" spans="2:8" x14ac:dyDescent="0.25">
      <c r="B40" s="28"/>
      <c r="C40" s="21" t="s">
        <v>40</v>
      </c>
      <c r="D40" s="32"/>
      <c r="E40" s="35"/>
      <c r="F40" s="35"/>
      <c r="G40" s="36">
        <f t="shared" si="2"/>
        <v>0</v>
      </c>
      <c r="H40" s="3"/>
    </row>
    <row r="41" spans="2:8" ht="15.6" customHeight="1" x14ac:dyDescent="0.25">
      <c r="B41" s="24" t="s">
        <v>44</v>
      </c>
      <c r="C41" s="41" t="s">
        <v>45</v>
      </c>
      <c r="D41" s="42"/>
      <c r="E41" s="43">
        <f>SUM(E42:E47)</f>
        <v>0</v>
      </c>
      <c r="F41" s="44">
        <f>SUM(F42:F47)</f>
        <v>0</v>
      </c>
      <c r="G41" s="44">
        <f>SUM(G42:G47)</f>
        <v>0</v>
      </c>
      <c r="H41" s="3"/>
    </row>
    <row r="42" spans="2:8" x14ac:dyDescent="0.25">
      <c r="B42" s="28"/>
      <c r="C42" s="21" t="s">
        <v>46</v>
      </c>
      <c r="D42" s="32"/>
      <c r="E42" s="35"/>
      <c r="F42" s="35"/>
      <c r="G42" s="36">
        <f t="shared" si="2"/>
        <v>0</v>
      </c>
      <c r="H42" s="3"/>
    </row>
    <row r="43" spans="2:8" x14ac:dyDescent="0.25">
      <c r="B43" s="29"/>
      <c r="C43" s="21" t="s">
        <v>47</v>
      </c>
      <c r="D43" s="32"/>
      <c r="E43" s="35"/>
      <c r="F43" s="35"/>
      <c r="G43" s="36">
        <f t="shared" si="2"/>
        <v>0</v>
      </c>
      <c r="H43" s="3"/>
    </row>
    <row r="44" spans="2:8" x14ac:dyDescent="0.25">
      <c r="B44" s="29"/>
      <c r="C44" s="21" t="s">
        <v>48</v>
      </c>
      <c r="D44" s="32"/>
      <c r="E44" s="35"/>
      <c r="F44" s="35"/>
      <c r="G44" s="36">
        <f t="shared" si="2"/>
        <v>0</v>
      </c>
      <c r="H44" s="3"/>
    </row>
    <row r="45" spans="2:8" ht="15.6" customHeight="1" x14ac:dyDescent="0.25">
      <c r="B45" s="29"/>
      <c r="C45" s="21" t="s">
        <v>49</v>
      </c>
      <c r="D45" s="32"/>
      <c r="E45" s="35"/>
      <c r="F45" s="35"/>
      <c r="G45" s="36">
        <f t="shared" si="2"/>
        <v>0</v>
      </c>
      <c r="H45" s="3"/>
    </row>
    <row r="46" spans="2:8" ht="15.6" customHeight="1" x14ac:dyDescent="0.25">
      <c r="B46" s="29"/>
      <c r="C46" s="22" t="s">
        <v>50</v>
      </c>
      <c r="D46" s="33"/>
      <c r="E46" s="35"/>
      <c r="F46" s="35"/>
      <c r="G46" s="36">
        <f t="shared" si="2"/>
        <v>0</v>
      </c>
      <c r="H46" s="3"/>
    </row>
    <row r="47" spans="2:8" x14ac:dyDescent="0.25">
      <c r="B47" s="29"/>
      <c r="C47" s="22" t="s">
        <v>40</v>
      </c>
      <c r="D47" s="33"/>
      <c r="E47" s="35"/>
      <c r="F47" s="35"/>
      <c r="G47" s="36">
        <f t="shared" si="2"/>
        <v>0</v>
      </c>
      <c r="H47" s="3"/>
    </row>
    <row r="48" spans="2:8" ht="15.6" customHeight="1" x14ac:dyDescent="0.25">
      <c r="B48" s="24" t="s">
        <v>52</v>
      </c>
      <c r="C48" s="41" t="s">
        <v>52</v>
      </c>
      <c r="D48" s="42"/>
      <c r="E48" s="43">
        <f>E24+E35+E41</f>
        <v>0</v>
      </c>
      <c r="F48" s="44">
        <f>F24+F35+F41</f>
        <v>0</v>
      </c>
      <c r="G48" s="44">
        <f>G24+G35+G41</f>
        <v>0</v>
      </c>
      <c r="H48" s="3"/>
    </row>
    <row r="49" spans="2:8" ht="15.6" customHeight="1" thickBot="1" x14ac:dyDescent="0.3">
      <c r="B49" s="4"/>
      <c r="C49" s="5"/>
      <c r="D49" s="5"/>
      <c r="E49" s="5"/>
      <c r="F49" s="5"/>
      <c r="G49" s="5"/>
      <c r="H49" s="6"/>
    </row>
    <row r="50" spans="2:8" ht="15.6" customHeight="1" x14ac:dyDescent="0.25"/>
    <row r="51" spans="2:8" ht="15.6" customHeight="1" x14ac:dyDescent="0.25"/>
    <row r="52" spans="2:8" ht="15.6" customHeight="1" x14ac:dyDescent="0.25"/>
    <row r="53" spans="2:8" ht="15.6" customHeight="1" x14ac:dyDescent="0.25"/>
  </sheetData>
  <sheetProtection algorithmName="SHA-512" hashValue="1VUBmb62woXS8876WbGLVm4ZaA/ucrCeCVNWlQqA7mkAhREZlhWzOwc9b90BFo6mfdhvu7Sgxz168iGGfbvIOg==" saltValue="4MyhF969nNOtWC7Cv9Irxg==" spinCount="100000" sheet="1" objects="1" scenarios="1"/>
  <mergeCells count="5">
    <mergeCell ref="F10:I10"/>
    <mergeCell ref="B25:B34"/>
    <mergeCell ref="F13:I13"/>
    <mergeCell ref="F15:I15"/>
    <mergeCell ref="F17:I17"/>
  </mergeCells>
  <pageMargins left="0.7" right="0.7" top="0.75" bottom="0.75" header="0.3" footer="0.3"/>
  <pageSetup orientation="portrait" r:id="rId1"/>
  <headerFooter>
    <oddFooter>&amp;C&amp;1#&amp;"Calibri"&amp;12&amp;K008000Internal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4972E-E8B1-41E0-B0E3-1C82D3C53EF1}">
  <dimension ref="A1:H38"/>
  <sheetViews>
    <sheetView tabSelected="1" zoomScale="66" zoomScaleNormal="66" workbookViewId="0">
      <selection activeCell="B9" sqref="B9"/>
    </sheetView>
  </sheetViews>
  <sheetFormatPr defaultRowHeight="23.25" customHeight="1" x14ac:dyDescent="0.25"/>
  <cols>
    <col min="1" max="1" width="61.5703125" customWidth="1"/>
    <col min="2" max="2" width="43.140625" customWidth="1"/>
    <col min="3" max="3" width="58.5703125" customWidth="1"/>
    <col min="4" max="8" width="25.85546875" customWidth="1"/>
  </cols>
  <sheetData>
    <row r="1" spans="1:8" ht="41.25" customHeight="1" x14ac:dyDescent="0.25">
      <c r="A1" s="68" t="s">
        <v>58</v>
      </c>
      <c r="B1" s="67"/>
      <c r="C1" s="67"/>
      <c r="D1" s="56"/>
      <c r="E1" s="56"/>
      <c r="F1" s="66"/>
      <c r="G1" s="66"/>
      <c r="H1" s="56"/>
    </row>
    <row r="2" spans="1:8" ht="31.5" customHeight="1" x14ac:dyDescent="0.25">
      <c r="A2" s="65" t="s">
        <v>59</v>
      </c>
      <c r="B2" s="64"/>
      <c r="C2" s="64"/>
      <c r="D2" s="60"/>
      <c r="E2" s="60"/>
      <c r="F2" s="63"/>
      <c r="G2" s="63"/>
      <c r="H2" s="60"/>
    </row>
    <row r="3" spans="1:8" ht="23.25" customHeight="1" x14ac:dyDescent="0.25">
      <c r="A3" s="72" t="s">
        <v>60</v>
      </c>
      <c r="B3" s="72"/>
      <c r="C3" s="72"/>
      <c r="D3" s="62"/>
      <c r="E3" s="62"/>
      <c r="F3" s="61"/>
      <c r="G3" s="61"/>
      <c r="H3" s="60"/>
    </row>
    <row r="4" spans="1:8" ht="23.25" customHeight="1" x14ac:dyDescent="0.25">
      <c r="A4" s="75" t="s">
        <v>61</v>
      </c>
      <c r="B4" s="76"/>
      <c r="C4" s="77"/>
      <c r="D4" s="78"/>
      <c r="E4" s="78"/>
      <c r="F4" s="78"/>
      <c r="G4" s="79"/>
      <c r="H4" s="56"/>
    </row>
    <row r="5" spans="1:8" ht="23.25" customHeight="1" x14ac:dyDescent="0.25">
      <c r="A5" s="57" t="s">
        <v>62</v>
      </c>
      <c r="B5" s="58" t="s">
        <v>90</v>
      </c>
      <c r="C5" s="80"/>
      <c r="D5" s="81"/>
      <c r="E5" s="81"/>
      <c r="F5" s="81"/>
      <c r="G5" s="82"/>
      <c r="H5" s="56"/>
    </row>
    <row r="6" spans="1:8" ht="23.25" customHeight="1" x14ac:dyDescent="0.25">
      <c r="A6" s="57" t="s">
        <v>63</v>
      </c>
      <c r="B6" s="58" t="s">
        <v>90</v>
      </c>
      <c r="C6" s="80"/>
      <c r="D6" s="81"/>
      <c r="E6" s="81"/>
      <c r="F6" s="81"/>
      <c r="G6" s="82"/>
      <c r="H6" s="56"/>
    </row>
    <row r="7" spans="1:8" ht="23.25" customHeight="1" x14ac:dyDescent="0.25">
      <c r="A7" s="57" t="s">
        <v>64</v>
      </c>
      <c r="B7" s="58" t="s">
        <v>91</v>
      </c>
      <c r="C7" s="80"/>
      <c r="D7" s="81"/>
      <c r="E7" s="81"/>
      <c r="F7" s="81"/>
      <c r="G7" s="82"/>
      <c r="H7" s="56"/>
    </row>
    <row r="8" spans="1:8" ht="23.25" customHeight="1" x14ac:dyDescent="0.25">
      <c r="A8" s="57" t="s">
        <v>65</v>
      </c>
      <c r="B8" s="58" t="s">
        <v>90</v>
      </c>
      <c r="C8" s="80"/>
      <c r="D8" s="81"/>
      <c r="E8" s="81"/>
      <c r="F8" s="81"/>
      <c r="G8" s="82"/>
      <c r="H8" s="56"/>
    </row>
    <row r="9" spans="1:8" ht="23.25" customHeight="1" x14ac:dyDescent="0.25">
      <c r="A9" s="57" t="s">
        <v>66</v>
      </c>
      <c r="B9" s="58" t="s">
        <v>92</v>
      </c>
      <c r="C9" s="80"/>
      <c r="D9" s="81"/>
      <c r="E9" s="81"/>
      <c r="F9" s="81"/>
      <c r="G9" s="82"/>
      <c r="H9" s="56"/>
    </row>
    <row r="10" spans="1:8" ht="23.25" customHeight="1" x14ac:dyDescent="0.25">
      <c r="A10" s="57" t="s">
        <v>67</v>
      </c>
      <c r="B10" s="58"/>
      <c r="C10" s="80"/>
      <c r="D10" s="81"/>
      <c r="E10" s="81"/>
      <c r="F10" s="81"/>
      <c r="G10" s="82"/>
      <c r="H10" s="56"/>
    </row>
    <row r="11" spans="1:8" ht="23.25" customHeight="1" x14ac:dyDescent="0.25">
      <c r="A11" s="57" t="s">
        <v>68</v>
      </c>
      <c r="B11" s="59"/>
      <c r="C11" s="80"/>
      <c r="D11" s="81"/>
      <c r="E11" s="81"/>
      <c r="F11" s="81"/>
      <c r="G11" s="82"/>
      <c r="H11" s="56"/>
    </row>
    <row r="12" spans="1:8" ht="23.25" customHeight="1" x14ac:dyDescent="0.25">
      <c r="A12" s="57" t="s">
        <v>69</v>
      </c>
      <c r="B12" s="58"/>
      <c r="C12" s="83"/>
      <c r="D12" s="84"/>
      <c r="E12" s="84"/>
      <c r="F12" s="84"/>
      <c r="G12" s="85"/>
      <c r="H12" s="56"/>
    </row>
    <row r="13" spans="1:8" ht="36" customHeight="1" x14ac:dyDescent="0.25">
      <c r="A13" s="57" t="s">
        <v>70</v>
      </c>
      <c r="B13" s="86"/>
      <c r="C13" s="86"/>
      <c r="D13" s="86"/>
      <c r="E13" s="86"/>
      <c r="F13" s="86"/>
      <c r="G13" s="86"/>
      <c r="H13" s="56"/>
    </row>
    <row r="14" spans="1:8" ht="23.25" customHeight="1" x14ac:dyDescent="0.25">
      <c r="A14" s="87" t="s">
        <v>71</v>
      </c>
      <c r="B14" s="87"/>
      <c r="C14" s="87"/>
      <c r="D14" s="87"/>
      <c r="E14" s="87"/>
      <c r="F14" s="87"/>
      <c r="G14" s="87"/>
      <c r="H14" s="56"/>
    </row>
    <row r="15" spans="1:8" ht="34.5" customHeight="1" x14ac:dyDescent="0.25">
      <c r="A15" s="88" t="s">
        <v>72</v>
      </c>
      <c r="B15" s="88"/>
      <c r="C15" s="88"/>
      <c r="D15" s="88"/>
      <c r="E15" s="88"/>
      <c r="F15" s="88"/>
      <c r="G15" s="88"/>
      <c r="H15" s="56"/>
    </row>
    <row r="16" spans="1:8" ht="56.25" customHeight="1" x14ac:dyDescent="0.25">
      <c r="A16" s="88" t="s">
        <v>73</v>
      </c>
      <c r="B16" s="88"/>
      <c r="C16" s="88"/>
      <c r="D16" s="88"/>
      <c r="E16" s="88"/>
      <c r="F16" s="88"/>
      <c r="G16" s="88"/>
      <c r="H16" s="55"/>
    </row>
    <row r="17" spans="1:7" ht="23.25" customHeight="1" x14ac:dyDescent="0.3">
      <c r="A17" s="15"/>
      <c r="B17" s="16" t="s">
        <v>20</v>
      </c>
      <c r="C17" s="16"/>
      <c r="D17" s="17"/>
      <c r="E17" s="17"/>
      <c r="F17" s="17"/>
      <c r="G17" s="18"/>
    </row>
    <row r="18" spans="1:7" ht="23.25" customHeight="1" x14ac:dyDescent="0.3">
      <c r="A18" s="9"/>
      <c r="B18" s="7"/>
      <c r="C18" s="7"/>
      <c r="D18" s="8"/>
      <c r="E18" s="8"/>
      <c r="F18" s="8"/>
      <c r="G18" s="3"/>
    </row>
    <row r="19" spans="1:7" ht="43.5" customHeight="1" x14ac:dyDescent="0.25">
      <c r="A19" s="25" t="s">
        <v>21</v>
      </c>
      <c r="B19" s="11" t="s">
        <v>22</v>
      </c>
      <c r="C19" s="11" t="s">
        <v>23</v>
      </c>
      <c r="D19" s="11" t="s">
        <v>24</v>
      </c>
      <c r="E19" s="11" t="s">
        <v>25</v>
      </c>
      <c r="F19" s="11" t="s">
        <v>26</v>
      </c>
      <c r="G19" s="3"/>
    </row>
    <row r="20" spans="1:7" ht="23.25" customHeight="1" x14ac:dyDescent="0.25">
      <c r="A20" s="30" t="s">
        <v>27</v>
      </c>
      <c r="B20" s="41" t="s">
        <v>28</v>
      </c>
      <c r="C20" s="42"/>
      <c r="D20" s="43">
        <f>SUM(D21:D29)</f>
        <v>0</v>
      </c>
      <c r="E20" s="43">
        <f>SUM(E21:E29)</f>
        <v>0</v>
      </c>
      <c r="F20" s="43">
        <f>SUM(F21:F29)</f>
        <v>0</v>
      </c>
      <c r="G20" s="3"/>
    </row>
    <row r="21" spans="1:7" ht="23.25" customHeight="1" x14ac:dyDescent="0.25">
      <c r="A21" s="73"/>
      <c r="B21" s="53" t="s">
        <v>74</v>
      </c>
      <c r="C21" s="32"/>
      <c r="D21" s="35"/>
      <c r="E21" s="35"/>
      <c r="F21" s="36">
        <f>D21+E21</f>
        <v>0</v>
      </c>
      <c r="G21" s="3"/>
    </row>
    <row r="22" spans="1:7" ht="23.25" customHeight="1" x14ac:dyDescent="0.25">
      <c r="A22" s="73"/>
      <c r="B22" s="53" t="s">
        <v>75</v>
      </c>
      <c r="C22" s="32"/>
      <c r="D22" s="35"/>
      <c r="E22" s="35"/>
      <c r="F22" s="36">
        <f>D22+E22</f>
        <v>0</v>
      </c>
      <c r="G22" s="3"/>
    </row>
    <row r="23" spans="1:7" ht="23.25" customHeight="1" x14ac:dyDescent="0.25">
      <c r="A23" s="73"/>
      <c r="B23" s="53" t="s">
        <v>76</v>
      </c>
      <c r="C23" s="32"/>
      <c r="D23" s="35"/>
      <c r="E23" s="35"/>
      <c r="F23" s="36">
        <f>D23+E23</f>
        <v>0</v>
      </c>
      <c r="G23" s="3"/>
    </row>
    <row r="24" spans="1:7" ht="23.25" customHeight="1" x14ac:dyDescent="0.25">
      <c r="A24" s="73"/>
      <c r="B24" s="54" t="s">
        <v>77</v>
      </c>
      <c r="C24" s="32"/>
      <c r="D24" s="35"/>
      <c r="E24" s="35"/>
      <c r="F24" s="36">
        <f>D24+E24</f>
        <v>0</v>
      </c>
      <c r="G24" s="3"/>
    </row>
    <row r="25" spans="1:7" ht="23.25" customHeight="1" x14ac:dyDescent="0.25">
      <c r="A25" s="73"/>
      <c r="B25" s="54" t="s">
        <v>78</v>
      </c>
      <c r="C25" s="32"/>
      <c r="D25" s="35"/>
      <c r="E25" s="35"/>
      <c r="F25" s="36"/>
      <c r="G25" s="3"/>
    </row>
    <row r="26" spans="1:7" ht="23.25" customHeight="1" x14ac:dyDescent="0.25">
      <c r="A26" s="73"/>
      <c r="B26" s="53" t="s">
        <v>40</v>
      </c>
      <c r="C26" s="32"/>
      <c r="D26" s="35"/>
      <c r="E26" s="35"/>
      <c r="F26" s="36">
        <f>D26+E26</f>
        <v>0</v>
      </c>
      <c r="G26" s="3"/>
    </row>
    <row r="27" spans="1:7" ht="23.25" customHeight="1" x14ac:dyDescent="0.25">
      <c r="A27" s="73"/>
      <c r="B27" s="53" t="s">
        <v>40</v>
      </c>
      <c r="C27" s="32"/>
      <c r="D27" s="35"/>
      <c r="E27" s="35"/>
      <c r="F27" s="36">
        <f>D27+E27</f>
        <v>0</v>
      </c>
      <c r="G27" s="3"/>
    </row>
    <row r="28" spans="1:7" ht="23.25" customHeight="1" x14ac:dyDescent="0.25">
      <c r="A28" s="73"/>
      <c r="B28" s="53" t="s">
        <v>40</v>
      </c>
      <c r="C28" s="32"/>
      <c r="D28" s="35"/>
      <c r="E28" s="35"/>
      <c r="F28" s="36">
        <f>D28+E28</f>
        <v>0</v>
      </c>
      <c r="G28" s="3"/>
    </row>
    <row r="29" spans="1:7" ht="23.25" customHeight="1" x14ac:dyDescent="0.25">
      <c r="A29" s="73"/>
      <c r="B29" s="53" t="s">
        <v>40</v>
      </c>
      <c r="C29" s="32"/>
      <c r="D29" s="35"/>
      <c r="E29" s="35"/>
      <c r="F29" s="36">
        <f>D29+E29</f>
        <v>0</v>
      </c>
      <c r="G29" s="3"/>
    </row>
    <row r="30" spans="1:7" ht="23.25" customHeight="1" x14ac:dyDescent="0.25">
      <c r="A30" s="30" t="s">
        <v>44</v>
      </c>
      <c r="B30" s="52" t="s">
        <v>45</v>
      </c>
      <c r="C30" s="42"/>
      <c r="D30" s="43">
        <f>SUM(D31:D36)</f>
        <v>0</v>
      </c>
      <c r="E30" s="43">
        <f>SUM(E31:E36)</f>
        <v>0</v>
      </c>
      <c r="F30" s="43">
        <f>SUM(F31:F36)</f>
        <v>0</v>
      </c>
      <c r="G30" s="3"/>
    </row>
    <row r="31" spans="1:7" ht="23.25" customHeight="1" x14ac:dyDescent="0.25">
      <c r="A31" s="74"/>
      <c r="B31" s="51" t="s">
        <v>46</v>
      </c>
      <c r="C31" s="33"/>
      <c r="D31" s="35"/>
      <c r="E31" s="35"/>
      <c r="F31" s="36">
        <f t="shared" ref="F31:F36" si="0">D31+E31</f>
        <v>0</v>
      </c>
      <c r="G31" s="3"/>
    </row>
    <row r="32" spans="1:7" ht="23.25" customHeight="1" x14ac:dyDescent="0.25">
      <c r="A32" s="74"/>
      <c r="B32" s="51" t="s">
        <v>47</v>
      </c>
      <c r="C32" s="33"/>
      <c r="D32" s="35"/>
      <c r="E32" s="35"/>
      <c r="F32" s="36">
        <f t="shared" si="0"/>
        <v>0</v>
      </c>
      <c r="G32" s="3"/>
    </row>
    <row r="33" spans="1:7" ht="23.25" customHeight="1" x14ac:dyDescent="0.25">
      <c r="A33" s="74"/>
      <c r="B33" s="51" t="s">
        <v>48</v>
      </c>
      <c r="C33" s="33"/>
      <c r="D33" s="35"/>
      <c r="E33" s="35"/>
      <c r="F33" s="36">
        <f t="shared" si="0"/>
        <v>0</v>
      </c>
      <c r="G33" s="3"/>
    </row>
    <row r="34" spans="1:7" ht="23.25" customHeight="1" x14ac:dyDescent="0.25">
      <c r="A34" s="74"/>
      <c r="B34" s="51" t="s">
        <v>49</v>
      </c>
      <c r="C34" s="33"/>
      <c r="D34" s="35"/>
      <c r="E34" s="35"/>
      <c r="F34" s="36">
        <f t="shared" si="0"/>
        <v>0</v>
      </c>
      <c r="G34" s="3"/>
    </row>
    <row r="35" spans="1:7" ht="23.25" customHeight="1" x14ac:dyDescent="0.25">
      <c r="A35" s="74"/>
      <c r="B35" s="51" t="s">
        <v>50</v>
      </c>
      <c r="C35" s="33"/>
      <c r="D35" s="35"/>
      <c r="E35" s="35"/>
      <c r="F35" s="36">
        <f t="shared" si="0"/>
        <v>0</v>
      </c>
      <c r="G35" s="3"/>
    </row>
    <row r="36" spans="1:7" ht="23.25" customHeight="1" x14ac:dyDescent="0.25">
      <c r="A36" s="74"/>
      <c r="B36" s="51" t="s">
        <v>40</v>
      </c>
      <c r="C36" s="33"/>
      <c r="D36" s="35"/>
      <c r="E36" s="35"/>
      <c r="F36" s="36">
        <f t="shared" si="0"/>
        <v>0</v>
      </c>
      <c r="G36" s="3"/>
    </row>
    <row r="37" spans="1:7" ht="23.25" customHeight="1" x14ac:dyDescent="0.25">
      <c r="A37" s="30" t="s">
        <v>51</v>
      </c>
      <c r="B37" s="50" t="s">
        <v>52</v>
      </c>
      <c r="C37" s="42"/>
      <c r="D37" s="43">
        <f>D20+D30</f>
        <v>0</v>
      </c>
      <c r="E37" s="43">
        <f>E20+E30</f>
        <v>0</v>
      </c>
      <c r="F37" s="43">
        <f>F20+F30</f>
        <v>0</v>
      </c>
      <c r="G37" s="3"/>
    </row>
    <row r="38" spans="1:7" ht="23.25" customHeight="1" thickBot="1" x14ac:dyDescent="0.3">
      <c r="A38" s="4"/>
      <c r="B38" s="5"/>
      <c r="C38" s="5"/>
      <c r="D38" s="5"/>
      <c r="E38" s="5"/>
      <c r="F38" s="5"/>
      <c r="G38" s="6"/>
    </row>
  </sheetData>
  <mergeCells count="9">
    <mergeCell ref="A3:C3"/>
    <mergeCell ref="A21:A29"/>
    <mergeCell ref="A31:A36"/>
    <mergeCell ref="A4:B4"/>
    <mergeCell ref="C4:G12"/>
    <mergeCell ref="B13:G13"/>
    <mergeCell ref="A14:G14"/>
    <mergeCell ref="A16:G16"/>
    <mergeCell ref="A15:G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4E36D-142B-499C-B652-033598DFEABC}">
  <dimension ref="B1:B7"/>
  <sheetViews>
    <sheetView showGridLines="0" workbookViewId="0">
      <selection activeCell="B5" sqref="B5"/>
    </sheetView>
  </sheetViews>
  <sheetFormatPr defaultRowHeight="15" x14ac:dyDescent="0.25"/>
  <cols>
    <col min="2" max="2" width="14.5703125" bestFit="1" customWidth="1"/>
  </cols>
  <sheetData>
    <row r="1" spans="2:2" x14ac:dyDescent="0.25">
      <c r="B1" s="1" t="s">
        <v>79</v>
      </c>
    </row>
    <row r="2" spans="2:2" x14ac:dyDescent="0.25">
      <c r="B2" t="s">
        <v>80</v>
      </c>
    </row>
    <row r="3" spans="2:2" x14ac:dyDescent="0.25">
      <c r="B3" t="s">
        <v>81</v>
      </c>
    </row>
    <row r="4" spans="2:2" x14ac:dyDescent="0.25">
      <c r="B4" t="s">
        <v>82</v>
      </c>
    </row>
    <row r="5" spans="2:2" x14ac:dyDescent="0.25">
      <c r="B5" t="s">
        <v>83</v>
      </c>
    </row>
    <row r="6" spans="2:2" x14ac:dyDescent="0.25">
      <c r="B6" t="s">
        <v>84</v>
      </c>
    </row>
    <row r="7" spans="2:2" x14ac:dyDescent="0.25">
      <c r="B7" t="s">
        <v>85</v>
      </c>
    </row>
  </sheetData>
  <pageMargins left="0.7" right="0.7" top="0.75" bottom="0.75" header="0.3" footer="0.3"/>
  <pageSetup orientation="portrait" horizontalDpi="1200" verticalDpi="1200" r:id="rId1"/>
  <headerFooter>
    <oddFooter>&amp;C&amp;1#&amp;"Calibri"&amp;12&amp;K008000Internal Use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a5d8a4-b964-471a-be9a-7aa474a21c1a">
      <Terms xmlns="http://schemas.microsoft.com/office/infopath/2007/PartnerControls"/>
    </lcf76f155ced4ddcb4097134ff3c332f>
    <TaxCatchAll xmlns="3d35c4be-f369-4127-a3af-4c6a094c180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A2682F3CEEE6478E645BAB89FDDCD7" ma:contentTypeVersion="15" ma:contentTypeDescription="Create a new document." ma:contentTypeScope="" ma:versionID="025413bfb3dc6f0dada57afbbf95391d">
  <xsd:schema xmlns:xsd="http://www.w3.org/2001/XMLSchema" xmlns:xs="http://www.w3.org/2001/XMLSchema" xmlns:p="http://schemas.microsoft.com/office/2006/metadata/properties" xmlns:ns2="31a5d8a4-b964-471a-be9a-7aa474a21c1a" xmlns:ns3="3d35c4be-f369-4127-a3af-4c6a094c1804" targetNamespace="http://schemas.microsoft.com/office/2006/metadata/properties" ma:root="true" ma:fieldsID="238b96290cd95d76dcbef3c8880e1bbe" ns2:_="" ns3:_="">
    <xsd:import namespace="31a5d8a4-b964-471a-be9a-7aa474a21c1a"/>
    <xsd:import namespace="3d35c4be-f369-4127-a3af-4c6a094c18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a5d8a4-b964-471a-be9a-7aa474a21c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07ac78d-b323-4a7e-a471-22c9ed9295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5c4be-f369-4127-a3af-4c6a094c180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b9692db-da60-42ee-909c-fb13cc10674a}" ma:internalName="TaxCatchAll" ma:showField="CatchAllData" ma:web="3d35c4be-f369-4127-a3af-4c6a094c18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159A8B-0554-439A-9E7B-4A64554E1E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3D4F4C-6473-4D84-99BA-29A191A61C7A}">
  <ds:schemaRefs>
    <ds:schemaRef ds:uri="http://schemas.microsoft.com/office/2006/metadata/properties"/>
    <ds:schemaRef ds:uri="http://schemas.microsoft.com/office/infopath/2007/PartnerControls"/>
    <ds:schemaRef ds:uri="c37c60ad-f1b5-42b4-8441-e34d3a39ebf1"/>
    <ds:schemaRef ds:uri="65e33838-e886-4716-85b1-d36602e27f80"/>
    <ds:schemaRef ds:uri="31a5d8a4-b964-471a-be9a-7aa474a21c1a"/>
    <ds:schemaRef ds:uri="3d35c4be-f369-4127-a3af-4c6a094c1804"/>
  </ds:schemaRefs>
</ds:datastoreItem>
</file>

<file path=customXml/itemProps3.xml><?xml version="1.0" encoding="utf-8"?>
<ds:datastoreItem xmlns:ds="http://schemas.openxmlformats.org/officeDocument/2006/customXml" ds:itemID="{CC1B555B-C33F-41F4-937E-675CD7F5D6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L2 costs</vt:lpstr>
      <vt:lpstr>DCFC costs</vt:lpstr>
      <vt:lpstr>LMTIP</vt:lpstr>
      <vt:lpstr>References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Kling, Alison</dc:creator>
  <cp:keywords/>
  <dc:description/>
  <cp:lastModifiedBy>Veronica Caward</cp:lastModifiedBy>
  <cp:revision/>
  <dcterms:created xsi:type="dcterms:W3CDTF">2020-10-08T17:28:03Z</dcterms:created>
  <dcterms:modified xsi:type="dcterms:W3CDTF">2025-03-27T15:47:14Z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90586b-6766-439a-826f-fa6da183971c_Enabled">
    <vt:lpwstr>true</vt:lpwstr>
  </property>
  <property fmtid="{D5CDD505-2E9C-101B-9397-08002B2CF9AE}" pid="3" name="MSIP_Label_6490586b-6766-439a-826f-fa6da183971c_SetDate">
    <vt:lpwstr>2020-10-08T22:40:11Z</vt:lpwstr>
  </property>
  <property fmtid="{D5CDD505-2E9C-101B-9397-08002B2CF9AE}" pid="4" name="MSIP_Label_6490586b-6766-439a-826f-fa6da183971c_Method">
    <vt:lpwstr>Standard</vt:lpwstr>
  </property>
  <property fmtid="{D5CDD505-2E9C-101B-9397-08002B2CF9AE}" pid="5" name="MSIP_Label_6490586b-6766-439a-826f-fa6da183971c_Name">
    <vt:lpwstr>General</vt:lpwstr>
  </property>
  <property fmtid="{D5CDD505-2E9C-101B-9397-08002B2CF9AE}" pid="6" name="MSIP_Label_6490586b-6766-439a-826f-fa6da183971c_SiteId">
    <vt:lpwstr>e9aef9b7-25ca-4518-a881-33e546773136</vt:lpwstr>
  </property>
  <property fmtid="{D5CDD505-2E9C-101B-9397-08002B2CF9AE}" pid="7" name="MSIP_Label_6490586b-6766-439a-826f-fa6da183971c_ActionId">
    <vt:lpwstr>a030a9fa-1173-4819-a1cf-0000c3d5593d</vt:lpwstr>
  </property>
  <property fmtid="{D5CDD505-2E9C-101B-9397-08002B2CF9AE}" pid="8" name="MSIP_Label_6490586b-6766-439a-826f-fa6da183971c_ContentBits">
    <vt:lpwstr>0</vt:lpwstr>
  </property>
  <property fmtid="{D5CDD505-2E9C-101B-9397-08002B2CF9AE}" pid="9" name="ContentTypeId">
    <vt:lpwstr>0x010100C2A2682F3CEEE6478E645BAB89FDDCD7</vt:lpwstr>
  </property>
  <property fmtid="{D5CDD505-2E9C-101B-9397-08002B2CF9AE}" pid="10" name="MediaServiceImageTags">
    <vt:lpwstr/>
  </property>
  <property fmtid="{D5CDD505-2E9C-101B-9397-08002B2CF9AE}" pid="11" name="MSIP_Label_019c027e-33b7-45fc-a572-8ffa5d09ec36_Enabled">
    <vt:lpwstr>true</vt:lpwstr>
  </property>
  <property fmtid="{D5CDD505-2E9C-101B-9397-08002B2CF9AE}" pid="12" name="MSIP_Label_019c027e-33b7-45fc-a572-8ffa5d09ec36_SetDate">
    <vt:lpwstr>2022-08-18T19:28:15Z</vt:lpwstr>
  </property>
  <property fmtid="{D5CDD505-2E9C-101B-9397-08002B2CF9AE}" pid="13" name="MSIP_Label_019c027e-33b7-45fc-a572-8ffa5d09ec36_Method">
    <vt:lpwstr>Standard</vt:lpwstr>
  </property>
  <property fmtid="{D5CDD505-2E9C-101B-9397-08002B2CF9AE}" pid="14" name="MSIP_Label_019c027e-33b7-45fc-a572-8ffa5d09ec36_Name">
    <vt:lpwstr>Internal Use</vt:lpwstr>
  </property>
  <property fmtid="{D5CDD505-2E9C-101B-9397-08002B2CF9AE}" pid="15" name="MSIP_Label_019c027e-33b7-45fc-a572-8ffa5d09ec36_SiteId">
    <vt:lpwstr>031a09bc-a2bf-44df-888e-4e09355b7a24</vt:lpwstr>
  </property>
  <property fmtid="{D5CDD505-2E9C-101B-9397-08002B2CF9AE}" pid="16" name="MSIP_Label_019c027e-33b7-45fc-a572-8ffa5d09ec36_ActionId">
    <vt:lpwstr>4488eaef-25a9-4358-b874-969e4c72d35b</vt:lpwstr>
  </property>
  <property fmtid="{D5CDD505-2E9C-101B-9397-08002B2CF9AE}" pid="17" name="MSIP_Label_019c027e-33b7-45fc-a572-8ffa5d09ec36_ContentBits">
    <vt:lpwstr>2</vt:lpwstr>
  </property>
</Properties>
</file>