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codeName="ThisWorkbook"/>
  <xr:revisionPtr revIDLastSave="0" documentId="8_{840F9282-2898-4725-9CFF-AE5C95BC94FB}" xr6:coauthVersionLast="47" xr6:coauthVersionMax="47" xr10:uidLastSave="{00000000-0000-0000-0000-000000000000}"/>
  <bookViews>
    <workbookView xWindow="-21600" yWindow="-14760" windowWidth="36975" windowHeight="18375" xr2:uid="{00000000-000D-0000-FFFF-FFFF00000000}"/>
  </bookViews>
  <sheets>
    <sheet name="Estimate" sheetId="1" r:id="rId1"/>
    <sheet name="Utility-Side vs Customer-Side" sheetId="2" r:id="rId2"/>
  </sheets>
  <definedNames>
    <definedName name="ColumnTitle1">SimpleInvoice[[#Headers],[Desciption]]</definedName>
    <definedName name="company_name">Estimate!#REF!</definedName>
    <definedName name="_xlnm.Print_Area" localSheetId="0">Estimate!$A$2:$L$64</definedName>
    <definedName name="_xlnm.Print_Titles" localSheetId="0">Estimate!$8:$8</definedName>
    <definedName name="RowTitleRegion1..C7">Estimate!#REF!</definedName>
    <definedName name="RowTitleRegion2..G5">Estimate!#REF!</definedName>
    <definedName name="RowTitleRegion3..G26">Estimate!#REF!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 r="J27" i="1"/>
  <c r="G43" i="1" l="1"/>
  <c r="G44" i="1"/>
  <c r="G45" i="1"/>
  <c r="G46" i="1"/>
  <c r="G47" i="1"/>
  <c r="G48" i="1"/>
  <c r="J48" i="1" s="1"/>
  <c r="G19" i="1"/>
  <c r="G20" i="1"/>
  <c r="G21" i="1"/>
  <c r="J21" i="1" s="1"/>
  <c r="G22" i="1"/>
  <c r="G28" i="1"/>
  <c r="J28" i="1" s="1"/>
  <c r="J55" i="1"/>
  <c r="G13" i="1"/>
  <c r="J10" i="1"/>
  <c r="G31" i="1"/>
  <c r="J31" i="1" s="1"/>
  <c r="G18" i="1" l="1"/>
  <c r="J18" i="1" s="1"/>
  <c r="G33" i="1" l="1"/>
  <c r="J33" i="1" s="1"/>
  <c r="J11" i="1"/>
  <c r="J19" i="1"/>
  <c r="J20" i="1"/>
  <c r="J22" i="1"/>
  <c r="J46" i="1"/>
  <c r="J47" i="1"/>
  <c r="J43" i="1"/>
  <c r="J44" i="1"/>
  <c r="J45" i="1"/>
  <c r="J13" i="1"/>
  <c r="G14" i="1"/>
  <c r="J14" i="1" s="1"/>
  <c r="G15" i="1"/>
  <c r="J15" i="1" s="1"/>
  <c r="G16" i="1"/>
  <c r="J16" i="1" s="1"/>
  <c r="G17" i="1"/>
  <c r="J17" i="1" s="1"/>
  <c r="G24" i="1"/>
  <c r="J24" i="1" s="1"/>
  <c r="G25" i="1"/>
  <c r="J25" i="1" s="1"/>
  <c r="G26" i="1"/>
  <c r="J26" i="1" s="1"/>
  <c r="G30" i="1"/>
  <c r="J30" i="1" s="1"/>
  <c r="G32" i="1"/>
  <c r="J32" i="1" s="1"/>
  <c r="G34" i="1"/>
  <c r="J34" i="1" s="1"/>
  <c r="G36" i="1"/>
  <c r="J36" i="1" s="1"/>
  <c r="J59" i="1" s="1"/>
  <c r="G38" i="1"/>
  <c r="J38" i="1" s="1"/>
  <c r="J61" i="1" s="1"/>
  <c r="G39" i="1"/>
  <c r="J39" i="1" s="1"/>
  <c r="G40" i="1"/>
  <c r="J40" i="1" s="1"/>
  <c r="G41" i="1"/>
  <c r="J41" i="1" s="1"/>
  <c r="G42" i="1"/>
  <c r="J42" i="1" s="1"/>
  <c r="G50" i="1"/>
  <c r="J50" i="1" s="1"/>
  <c r="G51" i="1"/>
  <c r="J51" i="1" s="1"/>
  <c r="G52" i="1"/>
  <c r="J52" i="1" s="1"/>
  <c r="G53" i="1"/>
  <c r="J53" i="1" s="1"/>
  <c r="J54" i="1"/>
  <c r="J58" i="1" l="1"/>
  <c r="J57" i="1"/>
  <c r="J56" i="1"/>
  <c r="J60" i="1" s="1"/>
  <c r="J63" i="1" l="1"/>
</calcChain>
</file>

<file path=xl/sharedStrings.xml><?xml version="1.0" encoding="utf-8"?>
<sst xmlns="http://schemas.openxmlformats.org/spreadsheetml/2006/main" count="197" uniqueCount="104">
  <si>
    <t xml:space="preserve"> </t>
  </si>
  <si>
    <t>ESTIMATE</t>
  </si>
  <si>
    <t>Project Site Street Address:</t>
  </si>
  <si>
    <t>Desciption</t>
  </si>
  <si>
    <t>Detail/Notes</t>
  </si>
  <si>
    <t>Unit Type</t>
  </si>
  <si>
    <t>Material Qty</t>
  </si>
  <si>
    <t>Material Unit Price</t>
  </si>
  <si>
    <t>Material Total</t>
  </si>
  <si>
    <t>Labor Total</t>
  </si>
  <si>
    <t>Total Cost</t>
  </si>
  <si>
    <t>Eligible Design and Permitting costs</t>
  </si>
  <si>
    <t>Design/Engineering</t>
  </si>
  <si>
    <t>Total</t>
  </si>
  <si>
    <t>Permitting</t>
  </si>
  <si>
    <t>Feet</t>
  </si>
  <si>
    <t>Protective Bollards</t>
  </si>
  <si>
    <t>Each</t>
  </si>
  <si>
    <t>Handholes/Manholes</t>
  </si>
  <si>
    <t>Concrete Work/Bases/Pads</t>
  </si>
  <si>
    <t>Other</t>
  </si>
  <si>
    <t>Specify:</t>
  </si>
  <si>
    <t>Primary Conduit (Concrete-encased)</t>
  </si>
  <si>
    <t>EVSE Freight/Shipping</t>
  </si>
  <si>
    <t>EVSE Installation</t>
  </si>
  <si>
    <t>Eligible Networking Costs</t>
  </si>
  <si>
    <t>EVSE Networking (Public L2s and MUDs only)</t>
  </si>
  <si>
    <t>Networking Services Provider:</t>
  </si>
  <si>
    <t>Ineligible Infrastructure Make-Ready costs - Infrastructure Site Work</t>
  </si>
  <si>
    <t>Parking Spot Striping/Painting</t>
  </si>
  <si>
    <t>Ineligible EVSE Costs</t>
  </si>
  <si>
    <t>Activation Fee</t>
  </si>
  <si>
    <t>Validation</t>
  </si>
  <si>
    <t>Estimate Total for Eligible Costs</t>
  </si>
  <si>
    <t>Estimate Total for Ineligible Costs</t>
  </si>
  <si>
    <t>Subcontracted
Y/N</t>
  </si>
  <si>
    <t>EVSE Hardware #1</t>
  </si>
  <si>
    <t>EVSE Hardware #2</t>
  </si>
  <si>
    <t>Signage</t>
  </si>
  <si>
    <t>Maintenance/Warranty Plan</t>
  </si>
  <si>
    <t>Estimate Total for Eligible and Ineligible Costs</t>
  </si>
  <si>
    <t>Eligible Customer-Side Make-Ready Total (1)</t>
  </si>
  <si>
    <t>Eligible Utility-Side Make-Ready Total (2)</t>
  </si>
  <si>
    <t>Eligible EVSE Total (3)</t>
  </si>
  <si>
    <t xml:space="preserve">Eversource Project #: </t>
  </si>
  <si>
    <t>Company Name:</t>
  </si>
  <si>
    <t xml:space="preserve">Name: </t>
  </si>
  <si>
    <t>Project City, State, ZIP Code:</t>
  </si>
  <si>
    <t xml:space="preserve">EVSE Type (L2, DCFC): 
EVSE Make/Model: </t>
  </si>
  <si>
    <t>Trenching &amp; Backfill - Continuously Paved Area
(i.e., asphalt, concrete)</t>
  </si>
  <si>
    <t>Conduit &amp; Cable - Underground</t>
  </si>
  <si>
    <t>Conduit &amp; Cable - Above Ground/Indoor</t>
  </si>
  <si>
    <t>Trenching &amp; Backfill - Non-Continuously Paved Area
(i.e., grass)</t>
  </si>
  <si>
    <t>Eligible Networking Total (4)</t>
  </si>
  <si>
    <t>EVSE Networking (Workplace, Fleet, DCFC)</t>
  </si>
  <si>
    <t>Other (i.e., cable management, power management kits, mounting kits)</t>
  </si>
  <si>
    <t>Site Host Information</t>
  </si>
  <si>
    <t>Site Information / System Details</t>
  </si>
  <si>
    <t>Installer Information</t>
  </si>
  <si>
    <r>
      <rPr>
        <b/>
        <u/>
        <sz val="10"/>
        <rFont val="Calibri"/>
        <family val="2"/>
      </rPr>
      <t>(3)  EVSE Total</t>
    </r>
    <r>
      <rPr>
        <sz val="10"/>
        <rFont val="Calibri"/>
        <family val="2"/>
      </rPr>
      <t xml:space="preserve"> should match the amount in the </t>
    </r>
    <r>
      <rPr>
        <u/>
        <sz val="10"/>
        <rFont val="Calibri"/>
        <family val="2"/>
      </rPr>
      <t xml:space="preserve">EVSE Cost </t>
    </r>
    <r>
      <rPr>
        <sz val="10"/>
        <rFont val="Calibri"/>
        <family val="2"/>
      </rPr>
      <t xml:space="preserve">field in the PowerClerk Customer Application Portal for the EV application submitted.        </t>
    </r>
  </si>
  <si>
    <r>
      <rPr>
        <b/>
        <u/>
        <sz val="10"/>
        <rFont val="Calibri"/>
        <family val="2"/>
      </rPr>
      <t>(4)  Networking Total</t>
    </r>
    <r>
      <rPr>
        <sz val="10"/>
        <rFont val="Calibri"/>
        <family val="2"/>
      </rPr>
      <t xml:space="preserve"> should match the amount in the </t>
    </r>
    <r>
      <rPr>
        <u/>
        <sz val="10"/>
        <rFont val="Calibri"/>
        <family val="2"/>
      </rPr>
      <t xml:space="preserve">Networking Cost </t>
    </r>
    <r>
      <rPr>
        <sz val="10"/>
        <rFont val="Calibri"/>
        <family val="2"/>
      </rPr>
      <t xml:space="preserve">field in the PowerClerk Customer Application Portal for the EV application submitted.        </t>
    </r>
  </si>
  <si>
    <r>
      <rPr>
        <b/>
        <u/>
        <sz val="10"/>
        <rFont val="Calibri"/>
        <family val="2"/>
      </rPr>
      <t xml:space="preserve">(2)  Utility-Side Make-Ready Total </t>
    </r>
    <r>
      <rPr>
        <sz val="10"/>
        <rFont val="Calibri"/>
        <family val="2"/>
      </rPr>
      <t xml:space="preserve">should match the amount in the </t>
    </r>
    <r>
      <rPr>
        <u/>
        <sz val="10"/>
        <rFont val="Calibri"/>
        <family val="2"/>
      </rPr>
      <t>Utility-Side Make Ready Infrastructure Cost</t>
    </r>
    <r>
      <rPr>
        <sz val="10"/>
        <rFont val="Calibri"/>
        <family val="2"/>
      </rPr>
      <t xml:space="preserve"> field in the PowerClerk Customer Application Portal for the EV application submitted.
*** </t>
    </r>
    <r>
      <rPr>
        <b/>
        <i/>
        <sz val="10"/>
        <rFont val="Calibri"/>
        <family val="2"/>
      </rPr>
      <t>PROJECTS WITH BOTH LEVEL 2 and DC FAST CHARGERS:</t>
    </r>
    <r>
      <rPr>
        <sz val="10"/>
        <rFont val="Calibri"/>
        <family val="2"/>
      </rPr>
      <t xml:space="preserve"> Please complete two separate applications in Powerclerk Customer Application Portal. Please estimate the Make Ready costs using the percentage of kW load attributed to that type of charger (e.g., if the total utility-side infrastructure estimate is $100,000 and the Level 2 chargers account for 25% of the total load, the Level 2 utility -side infrastructure estimate would be $25,000) ***</t>
    </r>
  </si>
  <si>
    <r>
      <rPr>
        <b/>
        <u/>
        <sz val="10"/>
        <rFont val="Calibri"/>
        <family val="2"/>
      </rPr>
      <t xml:space="preserve">(1)  Customer-Side Make-Ready Total </t>
    </r>
    <r>
      <rPr>
        <sz val="10"/>
        <rFont val="Calibri"/>
        <family val="2"/>
      </rPr>
      <t xml:space="preserve">should match the amount in the </t>
    </r>
    <r>
      <rPr>
        <u/>
        <sz val="10"/>
        <rFont val="Calibri"/>
        <family val="2"/>
      </rPr>
      <t>Customer-Side Make Ready Infrastructure Cost</t>
    </r>
    <r>
      <rPr>
        <sz val="10"/>
        <rFont val="Calibri"/>
        <family val="2"/>
      </rPr>
      <t xml:space="preserve"> field in the PowerClerk Customer Application Portal for the EV application submitted.
*** </t>
    </r>
    <r>
      <rPr>
        <b/>
        <i/>
        <sz val="10"/>
        <rFont val="Calibri"/>
        <family val="2"/>
      </rPr>
      <t>PROJECTS WITH BOTH LEVEL 2 and DC FAST CHARGERS:</t>
    </r>
    <r>
      <rPr>
        <sz val="10"/>
        <rFont val="Calibri"/>
        <family val="2"/>
      </rPr>
      <t xml:space="preserve"> Please complete two separate applications in Powerclerk Customer Application Portal. Please estimate the Make Ready costs using the percentage of kW load attributed to that type of charger (e.g., if the total customer-side infrastructure estimate is $100,000 and the Level 2 chargers account for 25% of the total load, the Level 2 customer-side infrastructure estimate would be $25,000) ***</t>
    </r>
  </si>
  <si>
    <t>Eligible Customer-Side Infrastructure Make-Ready costs - Site and Electrical Work</t>
  </si>
  <si>
    <t>Eligible EVSE Costs</t>
  </si>
  <si>
    <r>
      <t xml:space="preserve">Trenching &amp; Backfill for </t>
    </r>
    <r>
      <rPr>
        <b/>
        <sz val="11"/>
        <rFont val="Calibri"/>
        <family val="2"/>
      </rPr>
      <t>Primary Conduit</t>
    </r>
    <r>
      <rPr>
        <sz val="11"/>
        <rFont val="Calibri"/>
        <family val="2"/>
      </rPr>
      <t xml:space="preserve"> - Continuously Paved Area</t>
    </r>
  </si>
  <si>
    <r>
      <t>Trenching &amp; Backfill for</t>
    </r>
    <r>
      <rPr>
        <b/>
        <sz val="11"/>
        <rFont val="Calibri"/>
        <family val="2"/>
      </rPr>
      <t xml:space="preserve"> Primary Conduit</t>
    </r>
    <r>
      <rPr>
        <sz val="11"/>
        <rFont val="Calibri"/>
        <family val="2"/>
      </rPr>
      <t xml:space="preserve"> - Non-Continuously Paved Area</t>
    </r>
  </si>
  <si>
    <t>Sales Tax - Infrastructure</t>
  </si>
  <si>
    <t>Sales Tax - EVSE</t>
  </si>
  <si>
    <t>Future Proofing - Trenching &amp; Backfill (continuously paved area, i.e., asphalt, concrete)</t>
  </si>
  <si>
    <t>Future Proofing - Trenching &amp; Backfill (non-continuously paved area, i.e., grass)</t>
  </si>
  <si>
    <t>Future Proofing - Conduit &amp; Cable (underground)</t>
  </si>
  <si>
    <t>Future Proofing - Conduit &amp; Cable (above ground/indoor)</t>
  </si>
  <si>
    <t>Future Proofing - Protective Bollards</t>
  </si>
  <si>
    <t>Future Proofing - Concrete Work/Bases/Pads</t>
  </si>
  <si>
    <t>Future Proofing - Panels/Service Board/Breakers</t>
  </si>
  <si>
    <t>Future Proofing - Other</t>
  </si>
  <si>
    <t>Distribuition Equipment (i.e., panels, service board, breakers, enclosures)</t>
  </si>
  <si>
    <t>Metering Equipment (i.e., meter socket, CT cabinet)</t>
  </si>
  <si>
    <t>Installation</t>
  </si>
  <si>
    <t>Ownership</t>
  </si>
  <si>
    <t>Maintenance</t>
  </si>
  <si>
    <t>Eversource</t>
  </si>
  <si>
    <t>Customer</t>
  </si>
  <si>
    <t>Equipment Type</t>
  </si>
  <si>
    <t>Property</t>
  </si>
  <si>
    <t>Public Right of Way</t>
  </si>
  <si>
    <t>Private Property</t>
  </si>
  <si>
    <t>Overhead Cable - Primary or Secondary</t>
  </si>
  <si>
    <t>Underground Cable &amp; Conduit - Primary or Secondary</t>
  </si>
  <si>
    <t>Underground Cable - Primary</t>
  </si>
  <si>
    <t>Underground Conduit - Primary</t>
  </si>
  <si>
    <t>Underground Cable &amp; Conduit - Secondary</t>
  </si>
  <si>
    <t>Eversource*</t>
  </si>
  <si>
    <t>Transformer Pad</t>
  </si>
  <si>
    <t>Pad-Mounted Transformer</t>
  </si>
  <si>
    <t>Meter Socket, CT Cabinet</t>
  </si>
  <si>
    <t>Meter</t>
  </si>
  <si>
    <t>All Other Facilities</t>
  </si>
  <si>
    <t>* Cambridge, South Shore, Cape &amp; MV: Customer may elect to install cable, using Eversource-approved contractor and in accordance with Eversource material and construction specifications.</t>
  </si>
  <si>
    <t>Utility-Side means Eversource-Owned, Customer-Side means Customer-Owned. Please refer to table below.</t>
  </si>
  <si>
    <t>Pole</t>
  </si>
  <si>
    <t>Pole-Mounted Transformer</t>
  </si>
  <si>
    <r>
      <t xml:space="preserve">Eligible Utility-Side Infrastructure Make-Ready costs - Site and Electrical Work - </t>
    </r>
    <r>
      <rPr>
        <b/>
        <i/>
        <sz val="14"/>
        <color theme="0"/>
        <rFont val="Calibri"/>
        <family val="2"/>
      </rPr>
      <t>Only applicable if contractor is installing utility-owned primary-side equipment - Refer to Tab #2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</si>
</sst>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
    <numFmt numFmtId="165" formatCode="[&lt;=9999999]###\-####;\(###\)\ ###\-####"/>
  </numFmts>
  <fonts count="32" x14ac:knownFonts="1">
    <font>
      <sz val="11"/>
      <color theme="2" tint="-0.749961851863155"/>
      <name val="Arial"/>
      <family val="2"/>
      <scheme val="minor"/>
    </font>
    <font>
      <b/>
      <sz val="10"/>
      <name val="Arial"/>
      <family val="2"/>
    </font>
    <font>
      <sz val="14"/>
      <color theme="4" tint="-0.24994659260841701"/>
      <name val="Arial"/>
      <family val="2"/>
      <scheme val="minor"/>
    </font>
    <font>
      <b/>
      <sz val="25"/>
      <color theme="0"/>
      <name val="Arial"/>
      <family val="2"/>
      <scheme val="major"/>
    </font>
    <font>
      <sz val="11"/>
      <color theme="2" tint="-0.89996032593768116"/>
      <name val="Arial"/>
      <family val="2"/>
      <scheme val="minor"/>
    </font>
    <font>
      <b/>
      <sz val="11"/>
      <color theme="1"/>
      <name val="Arial"/>
      <family val="2"/>
      <scheme val="minor"/>
    </font>
    <font>
      <sz val="11"/>
      <color theme="5" tint="-0.24994659260841701"/>
      <name val="Arial"/>
      <family val="2"/>
      <scheme val="minor"/>
    </font>
    <font>
      <sz val="11"/>
      <color theme="2" tint="-0.89989928891872917"/>
      <name val="Arial"/>
      <family val="2"/>
      <scheme val="minor"/>
    </font>
    <font>
      <sz val="11"/>
      <color theme="2" tint="-0.749992370372631"/>
      <name val="Arial"/>
      <family val="2"/>
      <scheme val="minor"/>
    </font>
    <font>
      <sz val="11"/>
      <color theme="4" tint="-0.499984740745262"/>
      <name val="Arial"/>
      <family val="2"/>
      <scheme val="major"/>
    </font>
    <font>
      <sz val="11"/>
      <color theme="2" tint="-0.749961851863155"/>
      <name val="Arial"/>
      <family val="2"/>
      <scheme val="minor"/>
    </font>
    <font>
      <sz val="11"/>
      <color theme="3"/>
      <name val="Arial"/>
      <family val="2"/>
      <scheme val="minor"/>
    </font>
    <font>
      <sz val="11"/>
      <name val="Arial"/>
      <family val="2"/>
      <scheme val="minor"/>
    </font>
    <font>
      <sz val="11"/>
      <color theme="4" tint="-0.499984740745262"/>
      <name val="Arial"/>
      <family val="2"/>
      <scheme val="minor"/>
    </font>
    <font>
      <sz val="11"/>
      <color theme="2" tint="-0.749961851863155"/>
      <name val="Calibri"/>
      <family val="2"/>
    </font>
    <font>
      <b/>
      <sz val="12"/>
      <color theme="0"/>
      <name val="Calibri"/>
      <family val="2"/>
    </font>
    <font>
      <b/>
      <sz val="25"/>
      <color theme="0"/>
      <name val="Calibri"/>
      <family val="2"/>
    </font>
    <font>
      <sz val="8"/>
      <color theme="2" tint="-0.749961851863155"/>
      <name val="Calibri"/>
      <family val="2"/>
    </font>
    <font>
      <sz val="10"/>
      <name val="Calibri"/>
      <family val="2"/>
    </font>
    <font>
      <sz val="11"/>
      <name val="Calibri"/>
      <family val="2"/>
    </font>
    <font>
      <b/>
      <sz val="11"/>
      <name val="Calibri"/>
      <family val="2"/>
    </font>
    <font>
      <b/>
      <sz val="14"/>
      <name val="Calibri"/>
      <family val="2"/>
    </font>
    <font>
      <sz val="11"/>
      <name val="Calibri"/>
      <family val="2"/>
    </font>
    <font>
      <b/>
      <u/>
      <sz val="12"/>
      <name val="Calibri"/>
      <family val="2"/>
    </font>
    <font>
      <b/>
      <u/>
      <sz val="10"/>
      <name val="Calibri"/>
      <family val="2"/>
    </font>
    <font>
      <u/>
      <sz val="10"/>
      <name val="Calibri"/>
      <family val="2"/>
    </font>
    <font>
      <b/>
      <i/>
      <sz val="10"/>
      <name val="Calibri"/>
      <family val="2"/>
    </font>
    <font>
      <sz val="12"/>
      <name val="Calibri"/>
      <family val="2"/>
    </font>
    <font>
      <b/>
      <i/>
      <sz val="14"/>
      <color theme="0"/>
      <name val="Calibri"/>
      <family val="2"/>
    </font>
    <font>
      <i/>
      <sz val="11"/>
      <name val="Arial"/>
      <family val="2"/>
      <scheme val="minor"/>
    </font>
    <font>
      <u/>
      <sz val="11"/>
      <name val="Calibri"/>
      <family val="2"/>
    </font>
    <font>
      <i/>
      <sz val="11"/>
      <name val="Calibri"/>
      <family val="2"/>
    </font>
  </fonts>
  <fills count="10">
    <fill>
      <patternFill patternType="none"/>
    </fill>
    <fill>
      <patternFill patternType="gray125"/>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00B050"/>
        <bgColor indexed="64"/>
      </patternFill>
    </fill>
    <fill>
      <patternFill patternType="solid">
        <fgColor theme="7" tint="0.499984740745262"/>
        <bgColor indexed="64"/>
      </patternFill>
    </fill>
    <fill>
      <patternFill patternType="solid">
        <fgColor theme="0" tint="-0.249977111117893"/>
        <bgColor indexed="64"/>
      </patternFill>
    </fill>
  </fills>
  <borders count="63">
    <border>
      <left/>
      <right/>
      <top/>
      <bottom/>
      <diagonal/>
    </border>
    <border>
      <left style="thin">
        <color theme="4"/>
      </left>
      <right style="thin">
        <color theme="4"/>
      </right>
      <top style="thin">
        <color theme="4"/>
      </top>
      <bottom style="thin">
        <color theme="4"/>
      </bottom>
      <diagonal/>
    </border>
    <border>
      <left/>
      <right/>
      <top/>
      <bottom style="thick">
        <color theme="4" tint="0.59996337778862885"/>
      </bottom>
      <diagonal/>
    </border>
    <border>
      <left style="medium">
        <color indexed="64"/>
      </left>
      <right/>
      <top/>
      <bottom/>
      <diagonal/>
    </border>
    <border>
      <left/>
      <right style="medium">
        <color indexed="64"/>
      </right>
      <top/>
      <bottom/>
      <diagonal/>
    </border>
    <border>
      <left style="medium">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medium">
        <color auto="1"/>
      </left>
      <right style="medium">
        <color auto="1"/>
      </right>
      <top style="thin">
        <color theme="1"/>
      </top>
      <bottom/>
      <diagonal/>
    </border>
    <border>
      <left style="medium">
        <color auto="1"/>
      </left>
      <right style="medium">
        <color auto="1"/>
      </right>
      <top/>
      <bottom/>
      <diagonal/>
    </border>
    <border>
      <left style="medium">
        <color auto="1"/>
      </left>
      <right style="medium">
        <color auto="1"/>
      </right>
      <top/>
      <bottom style="medium">
        <color indexed="64"/>
      </bottom>
      <diagonal/>
    </border>
    <border>
      <left style="thin">
        <color theme="1"/>
      </left>
      <right style="thin">
        <color theme="1"/>
      </right>
      <top style="thin">
        <color theme="1"/>
      </top>
      <bottom/>
      <diagonal/>
    </border>
    <border>
      <left style="thin">
        <color theme="1"/>
      </left>
      <right style="thin">
        <color theme="1"/>
      </right>
      <top style="medium">
        <color auto="1"/>
      </top>
      <bottom style="thin">
        <color theme="1"/>
      </bottom>
      <diagonal/>
    </border>
    <border>
      <left style="thin">
        <color auto="1"/>
      </left>
      <right style="thin">
        <color theme="1"/>
      </right>
      <top style="medium">
        <color auto="1"/>
      </top>
      <bottom style="thin">
        <color theme="1"/>
      </bottom>
      <diagonal/>
    </border>
    <border>
      <left style="thin">
        <color auto="1"/>
      </left>
      <right style="thin">
        <color theme="1"/>
      </right>
      <top style="thin">
        <color theme="1"/>
      </top>
      <bottom style="thin">
        <color theme="1"/>
      </bottom>
      <diagonal/>
    </border>
    <border>
      <left style="medium">
        <color indexed="64"/>
      </left>
      <right style="thin">
        <color auto="1"/>
      </right>
      <top style="medium">
        <color indexed="64"/>
      </top>
      <bottom style="thin">
        <color indexed="64"/>
      </bottom>
      <diagonal/>
    </border>
    <border>
      <left style="medium">
        <color indexed="64"/>
      </left>
      <right style="thin">
        <color auto="1"/>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auto="1"/>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theme="1"/>
      </right>
      <top style="medium">
        <color auto="1"/>
      </top>
      <bottom style="thin">
        <color theme="1"/>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theme="1"/>
      </left>
      <right/>
      <top style="medium">
        <color auto="1"/>
      </top>
      <bottom style="thin">
        <color theme="1"/>
      </bottom>
      <diagonal/>
    </border>
    <border>
      <left style="medium">
        <color indexed="64"/>
      </left>
      <right style="thin">
        <color auto="1"/>
      </right>
      <top/>
      <bottom style="thin">
        <color indexed="64"/>
      </bottom>
      <diagonal/>
    </border>
    <border>
      <left style="thin">
        <color auto="1"/>
      </left>
      <right style="thin">
        <color theme="1"/>
      </right>
      <top/>
      <bottom style="thin">
        <color theme="1"/>
      </bottom>
      <diagonal/>
    </border>
    <border>
      <left/>
      <right style="thin">
        <color theme="1"/>
      </right>
      <top/>
      <bottom style="thin">
        <color theme="1"/>
      </bottom>
      <diagonal/>
    </border>
    <border>
      <left style="thin">
        <color theme="1"/>
      </left>
      <right style="thin">
        <color theme="1"/>
      </right>
      <top/>
      <bottom style="thin">
        <color theme="1"/>
      </bottom>
      <diagonal/>
    </border>
    <border>
      <left style="thin">
        <color theme="1"/>
      </left>
      <right style="medium">
        <color auto="1"/>
      </right>
      <top/>
      <bottom style="thin">
        <color theme="1"/>
      </bottom>
      <diagonal/>
    </border>
    <border>
      <left style="thin">
        <color theme="1"/>
      </left>
      <right/>
      <top/>
      <bottom style="thin">
        <color theme="1"/>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indexed="64"/>
      </diagonal>
    </border>
    <border>
      <left/>
      <right style="medium">
        <color indexed="64"/>
      </right>
      <top style="thin">
        <color indexed="64"/>
      </top>
      <bottom/>
      <diagonal/>
    </border>
    <border>
      <left/>
      <right style="medium">
        <color auto="1"/>
      </right>
      <top style="thin">
        <color theme="1"/>
      </top>
      <bottom style="thin">
        <color theme="1"/>
      </bottom>
      <diagonal/>
    </border>
    <border>
      <left style="thin">
        <color theme="1"/>
      </left>
      <right/>
      <top/>
      <bottom/>
      <diagonal/>
    </border>
    <border>
      <left style="thin">
        <color theme="1"/>
      </left>
      <right style="thin">
        <color theme="1"/>
      </right>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theme="1"/>
      </right>
      <top style="thin">
        <color theme="1"/>
      </top>
      <bottom/>
      <diagonal/>
    </border>
    <border>
      <left/>
      <right style="medium">
        <color auto="1"/>
      </right>
      <top style="thin">
        <color theme="1"/>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thin">
        <color theme="1"/>
      </top>
      <bottom style="thin">
        <color theme="1"/>
      </bottom>
      <diagonal/>
    </border>
    <border>
      <left style="thin">
        <color theme="1"/>
      </left>
      <right style="medium">
        <color auto="1"/>
      </right>
      <top/>
      <bottom style="medium">
        <color indexed="64"/>
      </bottom>
      <diagonal/>
    </border>
    <border>
      <left style="thin">
        <color theme="1"/>
      </left>
      <right style="medium">
        <color auto="1"/>
      </right>
      <top style="thin">
        <color theme="1"/>
      </top>
      <bottom style="thin">
        <color theme="1"/>
      </bottom>
      <diagonal/>
    </border>
    <border>
      <left/>
      <right/>
      <top style="thin">
        <color theme="1"/>
      </top>
      <bottom/>
      <diagonal/>
    </border>
  </borders>
  <cellStyleXfs count="19">
    <xf numFmtId="0" fontId="0" fillId="0" borderId="0" applyFill="0" applyBorder="0">
      <alignment horizontal="left" vertical="center" wrapText="1" indent="1"/>
    </xf>
    <xf numFmtId="0" fontId="4" fillId="0" borderId="0" applyNumberFormat="0" applyFill="0" applyBorder="0" applyAlignment="0" applyProtection="0"/>
    <xf numFmtId="0" fontId="9" fillId="0" borderId="0" applyNumberFormat="0" applyFill="0" applyBorder="0" applyProtection="0">
      <alignment vertical="center"/>
    </xf>
    <xf numFmtId="0" fontId="2" fillId="0" borderId="0" applyNumberFormat="0" applyFill="0" applyBorder="0" applyProtection="0">
      <alignment horizontal="left" vertical="center" indent="1"/>
    </xf>
    <xf numFmtId="10" fontId="11" fillId="0" borderId="0" applyFill="0" applyBorder="0" applyProtection="0">
      <alignment horizontal="right" vertical="center"/>
    </xf>
    <xf numFmtId="0" fontId="4" fillId="0" borderId="0" applyNumberFormat="0" applyFill="0" applyBorder="0" applyAlignment="0" applyProtection="0">
      <alignment vertical="top" wrapText="1"/>
    </xf>
    <xf numFmtId="0" fontId="3" fillId="3" borderId="2" applyProtection="0">
      <alignment vertical="center"/>
    </xf>
    <xf numFmtId="0" fontId="4" fillId="2" borderId="0" applyNumberFormat="0" applyBorder="0" applyProtection="0">
      <alignment vertical="center" wrapText="1"/>
    </xf>
    <xf numFmtId="0" fontId="12" fillId="0" borderId="1" applyFill="0" applyProtection="0">
      <alignment horizontal="right" vertical="center" indent="1"/>
    </xf>
    <xf numFmtId="0" fontId="6" fillId="0" borderId="0" applyNumberFormat="0" applyFill="0" applyBorder="0" applyAlignment="0" applyProtection="0"/>
    <xf numFmtId="0" fontId="7" fillId="0" borderId="0" applyNumberFormat="0" applyFill="0" applyBorder="0" applyAlignment="0" applyProtection="0"/>
    <xf numFmtId="0" fontId="5" fillId="0" borderId="1" applyNumberFormat="0" applyAlignment="0" applyProtection="0"/>
    <xf numFmtId="0" fontId="4" fillId="5" borderId="0" applyBorder="0" applyProtection="0">
      <alignment horizontal="left" indent="1"/>
    </xf>
    <xf numFmtId="44" fontId="10" fillId="0" borderId="0" applyFont="0" applyFill="0" applyBorder="0" applyProtection="0">
      <alignment horizontal="right" vertical="center"/>
    </xf>
    <xf numFmtId="44" fontId="11" fillId="0" borderId="0" applyFill="0" applyBorder="0" applyProtection="0">
      <alignment horizontal="right" vertical="center"/>
    </xf>
    <xf numFmtId="0" fontId="13" fillId="4" borderId="0" applyNumberFormat="0" applyBorder="0" applyProtection="0">
      <alignment horizontal="left" vertical="top" wrapText="1" indent="1"/>
    </xf>
    <xf numFmtId="165" fontId="4" fillId="0" borderId="0" applyFont="0" applyFill="0" applyBorder="0" applyAlignment="0">
      <alignment vertical="center"/>
    </xf>
    <xf numFmtId="164" fontId="10" fillId="0" borderId="0" applyFont="0" applyFill="0" applyBorder="0">
      <alignment horizontal="right" vertical="center"/>
    </xf>
    <xf numFmtId="14" fontId="8" fillId="0" borderId="0" applyFont="0" applyFill="0" applyBorder="0" applyAlignment="0" applyProtection="0">
      <alignment horizontal="left" wrapText="1"/>
    </xf>
  </cellStyleXfs>
  <cellXfs count="172">
    <xf numFmtId="0" fontId="0" fillId="0" borderId="0" xfId="0">
      <alignment horizontal="left" vertical="center" wrapText="1" indent="1"/>
    </xf>
    <xf numFmtId="0" fontId="14" fillId="6" borderId="0" xfId="0" applyFont="1" applyFill="1" applyBorder="1">
      <alignment horizontal="left" vertical="center" wrapText="1" indent="1"/>
    </xf>
    <xf numFmtId="0" fontId="14" fillId="0" borderId="0" xfId="0" applyFont="1">
      <alignment horizontal="left" vertical="center" wrapText="1" indent="1"/>
    </xf>
    <xf numFmtId="0" fontId="17" fillId="0" borderId="0" xfId="0" applyFont="1" applyAlignment="1">
      <alignment horizontal="left" vertical="top" wrapText="1" indent="1"/>
    </xf>
    <xf numFmtId="0" fontId="18" fillId="0" borderId="0" xfId="0" applyFont="1">
      <alignment horizontal="left" vertical="center" wrapText="1" indent="1"/>
    </xf>
    <xf numFmtId="0" fontId="14" fillId="0" borderId="0" xfId="0" applyFont="1" applyBorder="1">
      <alignment horizontal="left" vertical="center" wrapText="1" indent="1"/>
    </xf>
    <xf numFmtId="0" fontId="16" fillId="7" borderId="0" xfId="6" applyFont="1" applyFill="1" applyBorder="1" applyAlignment="1" applyProtection="1">
      <alignment horizontal="left" vertical="center" indent="2"/>
    </xf>
    <xf numFmtId="0" fontId="21" fillId="0" borderId="19" xfId="3" applyFont="1" applyFill="1" applyBorder="1">
      <alignment horizontal="left" vertical="center" indent="1"/>
    </xf>
    <xf numFmtId="0" fontId="21" fillId="0" borderId="21" xfId="3" applyFont="1" applyFill="1" applyBorder="1">
      <alignment horizontal="left" vertical="center" indent="1"/>
    </xf>
    <xf numFmtId="0" fontId="15" fillId="7" borderId="3" xfId="6" applyFont="1" applyFill="1" applyBorder="1" applyAlignment="1" applyProtection="1">
      <alignment horizontal="left" vertical="center"/>
    </xf>
    <xf numFmtId="0" fontId="19" fillId="0" borderId="7" xfId="0" applyFont="1" applyFill="1" applyBorder="1">
      <alignment horizontal="left" vertical="center" wrapText="1" indent="1"/>
    </xf>
    <xf numFmtId="0" fontId="19" fillId="0" borderId="6" xfId="0" applyFont="1" applyFill="1" applyBorder="1">
      <alignment horizontal="left" vertical="center" wrapText="1" indent="1"/>
    </xf>
    <xf numFmtId="164" fontId="19" fillId="0" borderId="6" xfId="17" applyFont="1" applyFill="1" applyBorder="1">
      <alignment horizontal="right" vertical="center"/>
    </xf>
    <xf numFmtId="44" fontId="19" fillId="0" borderId="8" xfId="13" applyFont="1" applyFill="1" applyBorder="1" applyAlignment="1" applyProtection="1">
      <alignment horizontal="center" vertical="center" wrapText="1"/>
    </xf>
    <xf numFmtId="0" fontId="19" fillId="0" borderId="7" xfId="0" applyFont="1" applyBorder="1">
      <alignment horizontal="left" vertical="center" wrapText="1" indent="1"/>
    </xf>
    <xf numFmtId="164" fontId="19" fillId="0" borderId="11" xfId="17" applyFont="1" applyFill="1" applyBorder="1">
      <alignment horizontal="right" vertical="center"/>
    </xf>
    <xf numFmtId="44" fontId="19" fillId="0" borderId="11" xfId="13" applyFont="1" applyFill="1" applyBorder="1" applyAlignment="1" applyProtection="1">
      <alignment horizontal="center" vertical="center" wrapText="1"/>
    </xf>
    <xf numFmtId="0" fontId="17" fillId="0" borderId="0" xfId="0" applyFont="1" applyFill="1" applyAlignment="1">
      <alignment horizontal="left" vertical="top" wrapText="1" indent="1"/>
    </xf>
    <xf numFmtId="0" fontId="14" fillId="0" borderId="0" xfId="0" applyFont="1" applyFill="1">
      <alignment horizontal="left" vertical="center" wrapText="1" indent="1"/>
    </xf>
    <xf numFmtId="0" fontId="19" fillId="0" borderId="10" xfId="0" applyFont="1" applyFill="1" applyBorder="1">
      <alignment horizontal="left" vertical="center" wrapText="1" indent="1"/>
    </xf>
    <xf numFmtId="0" fontId="19" fillId="0" borderId="11" xfId="0" applyFont="1" applyFill="1" applyBorder="1">
      <alignment horizontal="left" vertical="center" wrapText="1" indent="1"/>
    </xf>
    <xf numFmtId="0" fontId="19" fillId="0" borderId="10" xfId="0" applyFont="1" applyBorder="1">
      <alignment horizontal="left" vertical="center" wrapText="1" indent="1"/>
    </xf>
    <xf numFmtId="0" fontId="19" fillId="0" borderId="11" xfId="0" applyFont="1" applyBorder="1">
      <alignment horizontal="left" vertical="center" wrapText="1" indent="1"/>
    </xf>
    <xf numFmtId="164" fontId="19" fillId="0" borderId="15" xfId="17" applyFont="1" applyFill="1" applyBorder="1">
      <alignment horizontal="right" vertical="center"/>
    </xf>
    <xf numFmtId="44" fontId="19" fillId="0" borderId="15" xfId="13" applyFont="1" applyFill="1" applyBorder="1" applyAlignment="1" applyProtection="1">
      <alignment horizontal="center" vertical="center" wrapText="1"/>
    </xf>
    <xf numFmtId="0" fontId="19" fillId="0" borderId="12" xfId="0" applyFont="1" applyFill="1" applyBorder="1">
      <alignment horizontal="left" vertical="center" wrapText="1" indent="1"/>
    </xf>
    <xf numFmtId="0" fontId="19" fillId="0" borderId="13" xfId="0" applyFont="1" applyFill="1" applyBorder="1">
      <alignment horizontal="left" vertical="center" wrapText="1" indent="1"/>
    </xf>
    <xf numFmtId="0" fontId="19" fillId="0" borderId="7" xfId="0" applyFont="1" applyFill="1" applyBorder="1" applyAlignment="1">
      <alignment horizontal="right" vertical="center" wrapText="1" indent="1"/>
    </xf>
    <xf numFmtId="0" fontId="20" fillId="0" borderId="7" xfId="0" applyFont="1" applyFill="1" applyBorder="1" applyAlignment="1">
      <alignment horizontal="right" vertical="center" wrapText="1" indent="1"/>
    </xf>
    <xf numFmtId="0" fontId="18" fillId="0" borderId="0" xfId="0" applyFont="1" applyAlignment="1">
      <alignment vertical="center"/>
    </xf>
    <xf numFmtId="0" fontId="19" fillId="8" borderId="7" xfId="0" applyFont="1" applyFill="1" applyBorder="1" applyAlignment="1">
      <alignment horizontal="right" vertical="center" wrapText="1" indent="1"/>
    </xf>
    <xf numFmtId="164" fontId="19" fillId="8" borderId="11" xfId="17" applyFont="1" applyFill="1" applyBorder="1">
      <alignment horizontal="right" vertical="center"/>
    </xf>
    <xf numFmtId="0" fontId="20" fillId="8" borderId="7" xfId="0" applyFont="1" applyFill="1" applyBorder="1" applyAlignment="1">
      <alignment horizontal="right" vertical="center" wrapText="1" indent="1"/>
    </xf>
    <xf numFmtId="44" fontId="19" fillId="0" borderId="6" xfId="13" applyFont="1" applyFill="1" applyBorder="1" applyAlignment="1" applyProtection="1">
      <alignment horizontal="center" vertical="center" wrapText="1"/>
    </xf>
    <xf numFmtId="164" fontId="19" fillId="0" borderId="8" xfId="17" applyFont="1" applyFill="1" applyBorder="1">
      <alignment horizontal="right" vertical="center"/>
    </xf>
    <xf numFmtId="164" fontId="19" fillId="8" borderId="32" xfId="17" applyFont="1" applyFill="1" applyBorder="1">
      <alignment horizontal="right" vertical="center"/>
    </xf>
    <xf numFmtId="164" fontId="19" fillId="0" borderId="32" xfId="17" applyFont="1" applyFill="1" applyBorder="1">
      <alignment horizontal="right" vertical="center"/>
    </xf>
    <xf numFmtId="0" fontId="21" fillId="7" borderId="0" xfId="3" applyFont="1" applyFill="1" applyBorder="1">
      <alignment horizontal="left" vertical="center" indent="1"/>
    </xf>
    <xf numFmtId="164" fontId="21" fillId="7" borderId="0" xfId="3" applyNumberFormat="1" applyFont="1" applyFill="1" applyBorder="1" applyAlignment="1">
      <alignment horizontal="left" vertical="center" wrapText="1" indent="1"/>
    </xf>
    <xf numFmtId="44" fontId="21" fillId="7" borderId="0" xfId="3" applyNumberFormat="1" applyFont="1" applyFill="1" applyBorder="1" applyAlignment="1" applyProtection="1">
      <alignment horizontal="left" vertical="center" wrapText="1" indent="1"/>
    </xf>
    <xf numFmtId="44" fontId="19" fillId="0" borderId="33" xfId="13" applyFont="1" applyFill="1" applyBorder="1" applyAlignment="1" applyProtection="1">
      <alignment horizontal="center" vertical="center" wrapText="1"/>
    </xf>
    <xf numFmtId="44" fontId="19" fillId="0" borderId="34" xfId="13" applyFont="1" applyFill="1" applyBorder="1" applyAlignment="1" applyProtection="1">
      <alignment horizontal="center" vertical="center" wrapText="1"/>
    </xf>
    <xf numFmtId="164" fontId="19" fillId="8" borderId="33" xfId="17" applyFont="1" applyFill="1" applyBorder="1">
      <alignment horizontal="right" vertical="center"/>
    </xf>
    <xf numFmtId="164" fontId="19" fillId="0" borderId="33" xfId="17" applyFont="1" applyFill="1" applyBorder="1">
      <alignment horizontal="right" vertical="center"/>
    </xf>
    <xf numFmtId="164" fontId="21" fillId="0" borderId="21" xfId="3" applyNumberFormat="1" applyFont="1" applyFill="1" applyBorder="1" applyAlignment="1">
      <alignment horizontal="center" vertical="center" wrapText="1"/>
    </xf>
    <xf numFmtId="44" fontId="21" fillId="0" borderId="22" xfId="3" applyNumberFormat="1" applyFont="1" applyFill="1" applyBorder="1" applyAlignment="1" applyProtection="1">
      <alignment horizontal="center" vertical="center"/>
    </xf>
    <xf numFmtId="0" fontId="16" fillId="7" borderId="0" xfId="6" applyFont="1" applyFill="1" applyBorder="1" applyAlignment="1" applyProtection="1">
      <alignment horizontal="center" vertical="center"/>
    </xf>
    <xf numFmtId="164" fontId="21" fillId="7" borderId="0" xfId="3" applyNumberFormat="1" applyFont="1" applyFill="1" applyBorder="1" applyAlignment="1">
      <alignment horizontal="center" vertical="center" wrapText="1"/>
    </xf>
    <xf numFmtId="164" fontId="19" fillId="0" borderId="6" xfId="17" applyFont="1" applyFill="1" applyBorder="1" applyAlignment="1">
      <alignment horizontal="center" vertical="center"/>
    </xf>
    <xf numFmtId="164" fontId="19" fillId="0" borderId="11" xfId="17" applyFont="1" applyFill="1" applyBorder="1" applyAlignment="1">
      <alignment horizontal="center" vertical="center"/>
    </xf>
    <xf numFmtId="164" fontId="19" fillId="8" borderId="18" xfId="17" applyFont="1" applyFill="1" applyBorder="1" applyAlignment="1">
      <alignment horizontal="center" vertical="center"/>
    </xf>
    <xf numFmtId="164" fontId="19" fillId="0" borderId="18" xfId="17" applyFont="1" applyFill="1" applyBorder="1" applyAlignment="1">
      <alignment horizontal="center" vertical="center"/>
    </xf>
    <xf numFmtId="0" fontId="14" fillId="0" borderId="0" xfId="0" applyFont="1" applyAlignment="1">
      <alignment horizontal="center" vertical="center" wrapText="1"/>
    </xf>
    <xf numFmtId="164" fontId="19" fillId="0" borderId="6" xfId="3" applyNumberFormat="1" applyFont="1" applyFill="1" applyBorder="1" applyAlignment="1">
      <alignment horizontal="center" vertical="center" wrapText="1"/>
    </xf>
    <xf numFmtId="44" fontId="19" fillId="0" borderId="6" xfId="3" applyNumberFormat="1" applyFont="1" applyFill="1" applyBorder="1" applyAlignment="1" applyProtection="1">
      <alignment horizontal="left" vertical="center" wrapText="1" indent="1"/>
    </xf>
    <xf numFmtId="44" fontId="16" fillId="7" borderId="4" xfId="6" applyNumberFormat="1" applyFont="1" applyFill="1" applyBorder="1" applyAlignment="1" applyProtection="1">
      <alignment horizontal="left" vertical="center" indent="2"/>
    </xf>
    <xf numFmtId="44" fontId="21" fillId="7" borderId="0" xfId="3" applyNumberFormat="1" applyFont="1" applyFill="1" applyBorder="1" applyAlignment="1" applyProtection="1">
      <alignment horizontal="center" vertical="center" wrapText="1"/>
    </xf>
    <xf numFmtId="44" fontId="16" fillId="7" borderId="0" xfId="6" applyNumberFormat="1" applyFont="1" applyFill="1" applyBorder="1" applyAlignment="1" applyProtection="1">
      <alignment horizontal="center" vertical="center"/>
    </xf>
    <xf numFmtId="44" fontId="19" fillId="0" borderId="33" xfId="17" applyNumberFormat="1" applyFont="1" applyFill="1" applyBorder="1" applyAlignment="1">
      <alignment horizontal="center" vertical="center"/>
    </xf>
    <xf numFmtId="164" fontId="19" fillId="8" borderId="33" xfId="17" applyFont="1" applyFill="1" applyBorder="1" applyAlignment="1">
      <alignment horizontal="center" vertical="center"/>
    </xf>
    <xf numFmtId="164" fontId="19" fillId="0" borderId="33" xfId="17" applyFont="1" applyFill="1" applyBorder="1" applyAlignment="1">
      <alignment horizontal="center" vertical="center"/>
    </xf>
    <xf numFmtId="0" fontId="19" fillId="0" borderId="36" xfId="0" applyFont="1" applyFill="1" applyBorder="1" applyAlignment="1">
      <alignment horizontal="right" vertical="center" wrapText="1" indent="1"/>
    </xf>
    <xf numFmtId="164" fontId="19" fillId="0" borderId="37" xfId="17" applyFont="1" applyFill="1" applyBorder="1" applyAlignment="1">
      <alignment horizontal="center" vertical="center"/>
    </xf>
    <xf numFmtId="164" fontId="19" fillId="0" borderId="38" xfId="17" applyFont="1" applyFill="1" applyBorder="1">
      <alignment horizontal="right" vertical="center"/>
    </xf>
    <xf numFmtId="164" fontId="19" fillId="0" borderId="39" xfId="17" applyFont="1" applyFill="1" applyBorder="1" applyAlignment="1">
      <alignment horizontal="right" vertical="center" wrapText="1"/>
    </xf>
    <xf numFmtId="44" fontId="19" fillId="0" borderId="40" xfId="17" applyNumberFormat="1" applyFont="1" applyFill="1" applyBorder="1">
      <alignment horizontal="right" vertical="center"/>
    </xf>
    <xf numFmtId="0" fontId="19" fillId="8" borderId="19" xfId="0" applyFont="1" applyFill="1" applyBorder="1" applyAlignment="1">
      <alignment horizontal="right" vertical="center" wrapText="1" indent="1"/>
    </xf>
    <xf numFmtId="164" fontId="19" fillId="8" borderId="17" xfId="17" applyFont="1" applyFill="1" applyBorder="1" applyAlignment="1">
      <alignment horizontal="center" vertical="center"/>
    </xf>
    <xf numFmtId="164" fontId="19" fillId="8" borderId="31" xfId="17" applyFont="1" applyFill="1" applyBorder="1">
      <alignment horizontal="right" vertical="center"/>
    </xf>
    <xf numFmtId="164" fontId="19" fillId="8" borderId="16" xfId="17" applyFont="1" applyFill="1" applyBorder="1">
      <alignment horizontal="right" vertical="center"/>
    </xf>
    <xf numFmtId="164" fontId="19" fillId="8" borderId="35" xfId="17" applyFont="1" applyFill="1" applyBorder="1">
      <alignment horizontal="right" vertical="center"/>
    </xf>
    <xf numFmtId="44" fontId="19" fillId="8" borderId="40" xfId="17" applyNumberFormat="1" applyFont="1" applyFill="1" applyBorder="1">
      <alignment horizontal="right" vertical="center"/>
    </xf>
    <xf numFmtId="164" fontId="19" fillId="8" borderId="41" xfId="17" applyFont="1" applyFill="1" applyBorder="1">
      <alignment horizontal="right" vertical="center"/>
    </xf>
    <xf numFmtId="164" fontId="19" fillId="0" borderId="41" xfId="17" applyFont="1" applyFill="1" applyBorder="1">
      <alignment horizontal="right" vertical="center"/>
    </xf>
    <xf numFmtId="44" fontId="21" fillId="0" borderId="21" xfId="3" applyNumberFormat="1" applyFont="1" applyFill="1" applyBorder="1" applyAlignment="1" applyProtection="1">
      <alignment horizontal="center" vertical="center" wrapText="1"/>
    </xf>
    <xf numFmtId="0" fontId="20" fillId="0" borderId="7" xfId="6" applyFont="1" applyFill="1" applyBorder="1" applyProtection="1">
      <alignment vertical="center"/>
    </xf>
    <xf numFmtId="0" fontId="14" fillId="0" borderId="20" xfId="0" applyFont="1" applyFill="1" applyBorder="1">
      <alignment horizontal="left" vertical="center" wrapText="1" indent="1"/>
    </xf>
    <xf numFmtId="0" fontId="19" fillId="0" borderId="13" xfId="0" applyFont="1" applyBorder="1" applyAlignment="1">
      <alignment horizontal="right" vertical="center" wrapText="1"/>
    </xf>
    <xf numFmtId="0" fontId="19" fillId="0" borderId="14" xfId="0" applyFont="1" applyBorder="1" applyAlignment="1">
      <alignment horizontal="center" vertical="center" wrapText="1"/>
    </xf>
    <xf numFmtId="0" fontId="19" fillId="0" borderId="9" xfId="0" applyFont="1" applyFill="1" applyBorder="1" applyAlignment="1">
      <alignment horizontal="right" vertical="center" wrapText="1"/>
    </xf>
    <xf numFmtId="164" fontId="19" fillId="0" borderId="26" xfId="17" applyFont="1" applyFill="1" applyBorder="1" applyAlignment="1">
      <alignment horizontal="center" vertical="center"/>
    </xf>
    <xf numFmtId="164" fontId="19" fillId="0" borderId="26" xfId="17" applyFont="1" applyFill="1" applyBorder="1">
      <alignment horizontal="right" vertical="center"/>
    </xf>
    <xf numFmtId="44" fontId="19" fillId="0" borderId="27" xfId="17" applyNumberFormat="1" applyFont="1" applyFill="1" applyBorder="1">
      <alignment horizontal="right" vertical="center"/>
    </xf>
    <xf numFmtId="0" fontId="20" fillId="0" borderId="9" xfId="0" applyFont="1" applyBorder="1" applyAlignment="1">
      <alignment horizontal="right" vertical="center" wrapText="1"/>
    </xf>
    <xf numFmtId="0" fontId="20" fillId="0" borderId="26" xfId="0" applyFont="1" applyBorder="1" applyAlignment="1">
      <alignment vertical="center" wrapText="1"/>
    </xf>
    <xf numFmtId="0" fontId="20" fillId="0" borderId="26" xfId="0" applyFont="1" applyBorder="1" applyAlignment="1">
      <alignment horizontal="center" vertical="center" wrapText="1"/>
    </xf>
    <xf numFmtId="44" fontId="20" fillId="0" borderId="27" xfId="0" applyNumberFormat="1" applyFont="1" applyBorder="1" applyAlignment="1">
      <alignment horizontal="center" vertical="center" wrapText="1"/>
    </xf>
    <xf numFmtId="164" fontId="19" fillId="0" borderId="46" xfId="3" applyNumberFormat="1" applyFont="1" applyFill="1" applyBorder="1" applyAlignment="1">
      <alignment horizontal="left" vertical="center" wrapText="1" indent="1"/>
    </xf>
    <xf numFmtId="44" fontId="19" fillId="0" borderId="46" xfId="3" applyNumberFormat="1" applyFont="1" applyFill="1" applyBorder="1" applyAlignment="1" applyProtection="1">
      <alignment horizontal="left" vertical="center" wrapText="1" indent="1"/>
    </xf>
    <xf numFmtId="0" fontId="21" fillId="0" borderId="21" xfId="3" applyNumberFormat="1" applyFont="1" applyFill="1" applyBorder="1" applyAlignment="1" applyProtection="1">
      <alignment horizontal="center" vertical="center" wrapText="1"/>
    </xf>
    <xf numFmtId="0" fontId="19" fillId="0" borderId="6" xfId="13" applyNumberFormat="1" applyFont="1" applyFill="1" applyBorder="1" applyAlignment="1" applyProtection="1">
      <alignment horizontal="center" vertical="center" wrapText="1"/>
    </xf>
    <xf numFmtId="44" fontId="19" fillId="0" borderId="8" xfId="3" applyNumberFormat="1" applyFont="1" applyFill="1" applyBorder="1" applyAlignment="1" applyProtection="1">
      <alignment horizontal="center" vertical="center" wrapText="1"/>
    </xf>
    <xf numFmtId="44" fontId="21" fillId="7" borderId="43" xfId="3" applyNumberFormat="1" applyFont="1" applyFill="1" applyBorder="1" applyProtection="1">
      <alignment horizontal="left" vertical="center" indent="1"/>
    </xf>
    <xf numFmtId="44" fontId="19" fillId="0" borderId="43" xfId="3" applyNumberFormat="1" applyFont="1" applyFill="1" applyBorder="1" applyProtection="1">
      <alignment horizontal="left" vertical="center" indent="1"/>
    </xf>
    <xf numFmtId="44" fontId="16" fillId="7" borderId="25" xfId="6" applyNumberFormat="1" applyFont="1" applyFill="1" applyBorder="1" applyAlignment="1" applyProtection="1">
      <alignment horizontal="left" vertical="center" indent="2"/>
    </xf>
    <xf numFmtId="44" fontId="19" fillId="0" borderId="48" xfId="13" applyFont="1" applyFill="1" applyBorder="1" applyAlignment="1" applyProtection="1">
      <alignment horizontal="center" vertical="center" wrapText="1"/>
    </xf>
    <xf numFmtId="44" fontId="19" fillId="0" borderId="49" xfId="13" applyFont="1" applyFill="1" applyBorder="1" applyAlignment="1" applyProtection="1">
      <alignment horizontal="center" vertical="center" wrapText="1"/>
    </xf>
    <xf numFmtId="0" fontId="19" fillId="0" borderId="50" xfId="13" applyNumberFormat="1" applyFont="1" applyFill="1" applyBorder="1" applyAlignment="1" applyProtection="1">
      <alignment horizontal="center" vertical="center" wrapText="1"/>
    </xf>
    <xf numFmtId="44" fontId="21" fillId="7" borderId="6" xfId="3" applyNumberFormat="1" applyFont="1" applyFill="1" applyBorder="1" applyAlignment="1" applyProtection="1">
      <alignment horizontal="left" vertical="center" wrapText="1" indent="1"/>
    </xf>
    <xf numFmtId="0" fontId="21" fillId="7" borderId="6" xfId="3" applyNumberFormat="1" applyFont="1" applyFill="1" applyBorder="1" applyAlignment="1" applyProtection="1">
      <alignment horizontal="left" vertical="center" wrapText="1" indent="1"/>
    </xf>
    <xf numFmtId="0" fontId="19" fillId="0" borderId="6" xfId="3" applyNumberFormat="1" applyFont="1" applyFill="1" applyBorder="1" applyAlignment="1" applyProtection="1">
      <alignment horizontal="left" vertical="center" wrapText="1" indent="1"/>
    </xf>
    <xf numFmtId="0" fontId="16" fillId="7" borderId="6" xfId="6" applyFont="1" applyFill="1" applyBorder="1" applyAlignment="1" applyProtection="1">
      <alignment horizontal="left" vertical="center" indent="2"/>
    </xf>
    <xf numFmtId="0" fontId="19" fillId="0" borderId="6" xfId="17" applyNumberFormat="1" applyFont="1" applyFill="1" applyBorder="1">
      <alignment horizontal="right" vertical="center"/>
    </xf>
    <xf numFmtId="0" fontId="20" fillId="0" borderId="5" xfId="6" applyFont="1" applyFill="1" applyBorder="1" applyProtection="1">
      <alignment vertical="center"/>
    </xf>
    <xf numFmtId="0" fontId="20" fillId="0" borderId="51" xfId="6" applyFont="1" applyFill="1" applyBorder="1" applyAlignment="1" applyProtection="1">
      <alignment horizontal="left" vertical="center"/>
    </xf>
    <xf numFmtId="0" fontId="20" fillId="0" borderId="52" xfId="6" applyFont="1" applyFill="1" applyBorder="1" applyAlignment="1" applyProtection="1">
      <alignment horizontal="left" vertical="center"/>
    </xf>
    <xf numFmtId="0" fontId="20" fillId="6" borderId="52" xfId="6" applyFont="1" applyFill="1" applyBorder="1" applyAlignment="1" applyProtection="1">
      <alignment horizontal="left" vertical="center"/>
    </xf>
    <xf numFmtId="0" fontId="20" fillId="0" borderId="47" xfId="6" applyFont="1" applyFill="1" applyBorder="1" applyAlignment="1" applyProtection="1">
      <alignment horizontal="left" vertical="center"/>
    </xf>
    <xf numFmtId="0" fontId="27" fillId="0" borderId="0" xfId="0" applyFont="1" applyAlignment="1">
      <alignment horizontal="left" vertical="center" indent="1"/>
    </xf>
    <xf numFmtId="44" fontId="19" fillId="0" borderId="53" xfId="13" applyFont="1" applyFill="1" applyBorder="1" applyAlignment="1" applyProtection="1">
      <alignment horizontal="center" vertical="center" wrapText="1"/>
    </xf>
    <xf numFmtId="0" fontId="19" fillId="0" borderId="53" xfId="13" applyNumberFormat="1" applyFont="1" applyFill="1" applyBorder="1" applyAlignment="1" applyProtection="1">
      <alignment horizontal="center" vertical="center" wrapText="1"/>
    </xf>
    <xf numFmtId="0" fontId="16" fillId="7" borderId="54" xfId="6" applyFont="1" applyFill="1" applyBorder="1" applyAlignment="1" applyProtection="1">
      <alignment horizontal="left" vertical="center" indent="2"/>
    </xf>
    <xf numFmtId="44" fontId="22" fillId="0" borderId="6" xfId="13" applyFont="1" applyBorder="1" applyAlignment="1">
      <alignment horizontal="center" vertical="center" wrapText="1"/>
    </xf>
    <xf numFmtId="0" fontId="19" fillId="0" borderId="55" xfId="0" applyFont="1" applyFill="1" applyBorder="1">
      <alignment horizontal="left" vertical="center" wrapText="1" indent="1"/>
    </xf>
    <xf numFmtId="0" fontId="19" fillId="0" borderId="15" xfId="0" applyFont="1" applyFill="1" applyBorder="1">
      <alignment horizontal="left" vertical="center" wrapText="1" indent="1"/>
    </xf>
    <xf numFmtId="44" fontId="19" fillId="0" borderId="56" xfId="13" applyFont="1" applyFill="1" applyBorder="1" applyAlignment="1" applyProtection="1">
      <alignment horizontal="center" vertical="center" wrapText="1"/>
    </xf>
    <xf numFmtId="44" fontId="19" fillId="0" borderId="57" xfId="13" applyFont="1" applyFill="1" applyBorder="1" applyAlignment="1" applyProtection="1">
      <alignment horizontal="center" vertical="center" wrapText="1"/>
    </xf>
    <xf numFmtId="44" fontId="16" fillId="7" borderId="58" xfId="6" applyNumberFormat="1" applyFont="1" applyFill="1" applyBorder="1" applyAlignment="1" applyProtection="1">
      <alignment horizontal="left" vertical="center" indent="2"/>
    </xf>
    <xf numFmtId="44" fontId="19" fillId="0" borderId="59" xfId="13" applyFont="1" applyFill="1" applyBorder="1" applyAlignment="1" applyProtection="1">
      <alignment horizontal="center" vertical="center" wrapText="1"/>
    </xf>
    <xf numFmtId="44" fontId="19" fillId="0" borderId="60" xfId="13" applyFont="1" applyFill="1" applyBorder="1" applyAlignment="1" applyProtection="1">
      <alignment horizontal="center" vertical="center" wrapText="1"/>
    </xf>
    <xf numFmtId="0" fontId="19" fillId="0" borderId="39" xfId="13" applyNumberFormat="1" applyFont="1" applyFill="1" applyBorder="1" applyAlignment="1" applyProtection="1">
      <alignment horizontal="center" vertical="center" wrapText="1"/>
    </xf>
    <xf numFmtId="44" fontId="19" fillId="0" borderId="61" xfId="13" applyFont="1" applyFill="1" applyBorder="1" applyAlignment="1" applyProtection="1">
      <alignment horizontal="center" vertical="center" wrapText="1"/>
    </xf>
    <xf numFmtId="44" fontId="19" fillId="8" borderId="33" xfId="17" applyNumberFormat="1" applyFont="1" applyFill="1" applyBorder="1" applyAlignment="1">
      <alignment horizontal="center" vertical="center"/>
    </xf>
    <xf numFmtId="164" fontId="19" fillId="0" borderId="8" xfId="17" applyFont="1" applyFill="1" applyBorder="1" applyAlignment="1">
      <alignment horizontal="center" vertical="center"/>
    </xf>
    <xf numFmtId="164" fontId="19" fillId="0" borderId="51" xfId="17" applyFont="1" applyFill="1" applyBorder="1">
      <alignment horizontal="right" vertical="center"/>
    </xf>
    <xf numFmtId="44" fontId="19" fillId="0" borderId="51" xfId="13" applyFont="1" applyFill="1" applyBorder="1" applyAlignment="1" applyProtection="1">
      <alignment horizontal="center" vertical="center" wrapText="1"/>
    </xf>
    <xf numFmtId="164" fontId="19" fillId="0" borderId="53" xfId="17" applyFont="1" applyFill="1" applyBorder="1">
      <alignment horizontal="right" vertical="center"/>
    </xf>
    <xf numFmtId="44" fontId="19" fillId="0" borderId="45" xfId="13" applyFont="1" applyFill="1" applyBorder="1" applyAlignment="1" applyProtection="1">
      <alignment horizontal="center" vertical="center" wrapText="1"/>
    </xf>
    <xf numFmtId="164" fontId="19" fillId="0" borderId="45" xfId="17" applyFont="1" applyFill="1" applyBorder="1">
      <alignment horizontal="right" vertical="center"/>
    </xf>
    <xf numFmtId="44" fontId="19" fillId="0" borderId="62" xfId="13" applyFont="1" applyFill="1" applyBorder="1" applyAlignment="1" applyProtection="1">
      <alignment horizontal="center" vertical="center" wrapText="1"/>
    </xf>
    <xf numFmtId="164" fontId="19" fillId="0" borderId="34" xfId="17" applyFont="1" applyFill="1" applyBorder="1" applyAlignment="1">
      <alignment horizontal="center" vertical="center"/>
    </xf>
    <xf numFmtId="164" fontId="19" fillId="8" borderId="16" xfId="17" applyFont="1" applyFill="1" applyBorder="1" applyAlignment="1">
      <alignment horizontal="center" vertical="center"/>
    </xf>
    <xf numFmtId="0" fontId="0" fillId="0" borderId="0" xfId="0" applyAlignment="1">
      <alignment vertical="center" wrapText="1"/>
    </xf>
    <xf numFmtId="0" fontId="0" fillId="0" borderId="0" xfId="0" applyAlignment="1">
      <alignment horizontal="center" vertical="center" wrapText="1"/>
    </xf>
    <xf numFmtId="0" fontId="29" fillId="0" borderId="0" xfId="0" applyFont="1" applyAlignment="1">
      <alignment horizontal="left" vertical="center" indent="1"/>
    </xf>
    <xf numFmtId="0" fontId="12" fillId="0" borderId="0" xfId="0" applyFont="1" applyAlignment="1">
      <alignment horizontal="center" vertical="center" wrapText="1"/>
    </xf>
    <xf numFmtId="0" fontId="12" fillId="0" borderId="0" xfId="0" applyFont="1" applyAlignment="1">
      <alignment vertical="center" wrapText="1"/>
    </xf>
    <xf numFmtId="0" fontId="12" fillId="0" borderId="0" xfId="0" applyFont="1">
      <alignment horizontal="left" vertical="center" wrapText="1" indent="1"/>
    </xf>
    <xf numFmtId="0" fontId="30" fillId="0" borderId="6" xfId="0" applyFont="1" applyBorder="1" applyAlignment="1">
      <alignment horizontal="center" vertical="center" wrapText="1"/>
    </xf>
    <xf numFmtId="0" fontId="12" fillId="0" borderId="0" xfId="0" applyFont="1" applyBorder="1">
      <alignment horizontal="left" vertical="center" wrapText="1" indent="1"/>
    </xf>
    <xf numFmtId="0" fontId="19" fillId="0" borderId="6" xfId="0" applyFont="1" applyBorder="1" applyAlignment="1">
      <alignment horizontal="center" vertical="center" wrapText="1"/>
    </xf>
    <xf numFmtId="0" fontId="19" fillId="0" borderId="6" xfId="0" applyFont="1" applyBorder="1" applyAlignment="1">
      <alignment vertical="center" wrapText="1"/>
    </xf>
    <xf numFmtId="0" fontId="12" fillId="0" borderId="0" xfId="0" applyFont="1" applyBorder="1" applyAlignment="1">
      <alignment horizontal="center" vertical="center" wrapText="1"/>
    </xf>
    <xf numFmtId="0" fontId="12" fillId="0" borderId="0" xfId="0" applyFont="1" applyBorder="1" applyAlignment="1">
      <alignment vertical="center" wrapText="1"/>
    </xf>
    <xf numFmtId="0" fontId="31" fillId="0" borderId="0" xfId="0" applyFont="1" applyAlignment="1">
      <alignment horizontal="left" vertical="center" indent="1"/>
    </xf>
    <xf numFmtId="0" fontId="16" fillId="7" borderId="28" xfId="6" applyFont="1" applyFill="1" applyBorder="1" applyAlignment="1" applyProtection="1">
      <alignment horizontal="center" vertical="center"/>
    </xf>
    <xf numFmtId="0" fontId="16" fillId="7" borderId="29" xfId="6" applyFont="1" applyFill="1" applyBorder="1" applyAlignment="1" applyProtection="1">
      <alignment horizontal="center" vertical="center"/>
    </xf>
    <xf numFmtId="0" fontId="16" fillId="7" borderId="30" xfId="6" applyFont="1" applyFill="1" applyBorder="1" applyAlignment="1" applyProtection="1">
      <alignment horizontal="center" vertical="center"/>
    </xf>
    <xf numFmtId="0" fontId="20" fillId="0" borderId="8" xfId="6" applyFont="1" applyFill="1" applyBorder="1" applyAlignment="1" applyProtection="1">
      <alignment horizontal="left" vertical="center"/>
    </xf>
    <xf numFmtId="0" fontId="20" fillId="0" borderId="24" xfId="6" applyFont="1" applyFill="1" applyBorder="1" applyAlignment="1" applyProtection="1">
      <alignment horizontal="left" vertical="center"/>
    </xf>
    <xf numFmtId="0" fontId="20" fillId="0" borderId="25" xfId="6" applyFont="1" applyFill="1" applyBorder="1" applyAlignment="1" applyProtection="1">
      <alignment horizontal="left" vertical="center"/>
    </xf>
    <xf numFmtId="0" fontId="20" fillId="6" borderId="8" xfId="6" applyFont="1" applyFill="1" applyBorder="1" applyAlignment="1" applyProtection="1">
      <alignment horizontal="left" vertical="center"/>
    </xf>
    <xf numFmtId="0" fontId="20" fillId="6" borderId="24" xfId="6" applyFont="1" applyFill="1" applyBorder="1" applyAlignment="1" applyProtection="1">
      <alignment horizontal="left" vertical="center"/>
    </xf>
    <xf numFmtId="0" fontId="20" fillId="6" borderId="25" xfId="6" applyFont="1" applyFill="1" applyBorder="1" applyAlignment="1" applyProtection="1">
      <alignment horizontal="left" vertical="center"/>
    </xf>
    <xf numFmtId="0" fontId="23" fillId="0" borderId="8" xfId="6" applyFont="1" applyFill="1" applyBorder="1" applyAlignment="1" applyProtection="1">
      <alignment horizontal="left" vertical="center"/>
    </xf>
    <xf numFmtId="0" fontId="23" fillId="0" borderId="24" xfId="6" applyFont="1" applyFill="1" applyBorder="1" applyAlignment="1" applyProtection="1">
      <alignment horizontal="left" vertical="center"/>
    </xf>
    <xf numFmtId="0" fontId="23" fillId="0" borderId="25" xfId="6" applyFont="1" applyFill="1" applyBorder="1" applyAlignment="1" applyProtection="1">
      <alignment horizontal="left" vertical="center"/>
    </xf>
    <xf numFmtId="0" fontId="20" fillId="6" borderId="45" xfId="6" applyFont="1" applyFill="1" applyBorder="1" applyAlignment="1" applyProtection="1">
      <alignment horizontal="left" vertical="center"/>
    </xf>
    <xf numFmtId="0" fontId="23" fillId="0" borderId="45" xfId="6" applyFont="1" applyFill="1" applyBorder="1" applyAlignment="1" applyProtection="1">
      <alignment horizontal="left" vertical="center"/>
    </xf>
    <xf numFmtId="0" fontId="20" fillId="0" borderId="45" xfId="6" applyFont="1" applyFill="1" applyBorder="1" applyAlignment="1" applyProtection="1">
      <alignment horizontal="left" vertical="center"/>
    </xf>
    <xf numFmtId="0" fontId="20" fillId="0" borderId="44" xfId="2" applyFont="1" applyFill="1" applyBorder="1" applyAlignment="1" applyProtection="1">
      <alignment horizontal="left" vertical="center"/>
    </xf>
    <xf numFmtId="0" fontId="20" fillId="0" borderId="26" xfId="2" applyFont="1" applyFill="1" applyBorder="1" applyAlignment="1" applyProtection="1">
      <alignment horizontal="left" vertical="center"/>
    </xf>
    <xf numFmtId="0" fontId="20" fillId="0" borderId="27" xfId="2" applyFont="1" applyFill="1" applyBorder="1" applyAlignment="1" applyProtection="1">
      <alignment horizontal="left" vertical="center"/>
    </xf>
    <xf numFmtId="0" fontId="18" fillId="9" borderId="28" xfId="15" applyFont="1" applyFill="1" applyBorder="1" applyAlignment="1">
      <alignment vertical="top" wrapText="1"/>
    </xf>
    <xf numFmtId="0" fontId="18" fillId="9" borderId="42" xfId="15" applyFont="1" applyFill="1" applyBorder="1" applyAlignment="1">
      <alignment vertical="top" wrapText="1"/>
    </xf>
    <xf numFmtId="0" fontId="18" fillId="9" borderId="43" xfId="15" applyFont="1" applyFill="1" applyBorder="1" applyAlignment="1">
      <alignment vertical="top" wrapText="1"/>
    </xf>
    <xf numFmtId="0" fontId="18" fillId="9" borderId="23" xfId="15" applyFont="1" applyFill="1" applyBorder="1" applyAlignment="1">
      <alignment vertical="top" wrapText="1"/>
    </xf>
    <xf numFmtId="0" fontId="18" fillId="9" borderId="24" xfId="15" applyFont="1" applyFill="1" applyBorder="1" applyAlignment="1">
      <alignment vertical="top" wrapText="1"/>
    </xf>
    <xf numFmtId="0" fontId="18" fillId="9" borderId="25" xfId="15" applyFont="1" applyFill="1" applyBorder="1" applyAlignment="1">
      <alignment vertical="top" wrapText="1"/>
    </xf>
    <xf numFmtId="0" fontId="18" fillId="9" borderId="29" xfId="15" applyFont="1" applyFill="1" applyBorder="1" applyAlignment="1">
      <alignment vertical="top" wrapText="1"/>
    </xf>
    <xf numFmtId="0" fontId="18" fillId="9" borderId="30" xfId="15" applyFont="1" applyFill="1" applyBorder="1" applyAlignment="1">
      <alignment vertical="top" wrapText="1"/>
    </xf>
    <xf numFmtId="0" fontId="19" fillId="0" borderId="6" xfId="0" applyFont="1" applyBorder="1" applyAlignment="1">
      <alignment horizontal="center" vertical="center" wrapText="1"/>
    </xf>
  </cellXfs>
  <cellStyles count="19">
    <cellStyle name="20% - Accent1" xfId="15" builtinId="30" customBuiltin="1"/>
    <cellStyle name="60% - Accent1" xfId="7" builtinId="32" customBuiltin="1"/>
    <cellStyle name="Currency" xfId="13" builtinId="4" customBuiltin="1"/>
    <cellStyle name="Currency [0]" xfId="14" builtinId="7" customBuiltin="1"/>
    <cellStyle name="Date" xfId="18" xr:uid="{00000000-0005-0000-0000-000004000000}"/>
    <cellStyle name="Explanatory Text" xfId="10" builtinId="53" customBuiltin="1"/>
    <cellStyle name="Followed Hyperlink" xfId="5" builtinId="9"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Normal" xfId="0" builtinId="0" customBuiltin="1"/>
    <cellStyle name="Percent" xfId="4" builtinId="5" customBuiltin="1"/>
    <cellStyle name="Phone" xfId="16" xr:uid="{00000000-0005-0000-0000-00000E000000}"/>
    <cellStyle name="Quantity" xfId="17" xr:uid="{00000000-0005-0000-0000-00000F000000}"/>
    <cellStyle name="Title" xfId="6" builtinId="15" customBuiltin="1"/>
    <cellStyle name="Total" xfId="11" builtinId="25" customBuiltin="1"/>
    <cellStyle name="Warning Text" xfId="9" builtinId="11" customBuiltin="1"/>
  </cellStyles>
  <dxfs count="16">
    <dxf>
      <font>
        <strike val="0"/>
        <outline val="0"/>
        <shadow val="0"/>
        <vertAlign val="baseline"/>
        <name val="Calibri"/>
        <family val="2"/>
        <scheme val="none"/>
      </font>
      <numFmt numFmtId="34" formatCode="_(&quot;$&quot;* #,##0.00_);_(&quot;$&quot;* \(#,##0.00\);_(&quot;$&quot;* &quot;-&quot;??_);_(@_)"/>
      <border diagonalUp="0" diagonalDown="0">
        <right style="medium">
          <color auto="1"/>
        </right>
      </border>
    </dxf>
    <dxf>
      <font>
        <b val="0"/>
        <i val="0"/>
        <strike val="0"/>
        <condense val="0"/>
        <extend val="0"/>
        <outline val="0"/>
        <shadow val="0"/>
        <u val="none"/>
        <vertAlign val="baseline"/>
        <sz val="11"/>
        <color auto="1"/>
        <name val="Calibri"/>
        <family val="2"/>
        <scheme val="none"/>
      </font>
      <fill>
        <patternFill patternType="solid">
          <fgColor indexed="64"/>
          <bgColor theme="7" tint="0.499984740745262"/>
        </patternFill>
      </fill>
      <border diagonalUp="0" diagonalDown="0">
        <left style="thin">
          <color theme="1"/>
        </left>
        <right/>
        <top style="thin">
          <color theme="1"/>
        </top>
        <bottom style="thin">
          <color theme="1"/>
        </bottom>
        <vertical/>
        <horizontal/>
      </border>
    </dxf>
    <dxf>
      <font>
        <b val="0"/>
        <i val="0"/>
        <strike val="0"/>
        <condense val="0"/>
        <extend val="0"/>
        <outline val="0"/>
        <shadow val="0"/>
        <u val="none"/>
        <vertAlign val="baseline"/>
        <sz val="11"/>
        <color auto="1"/>
        <name val="Calibri"/>
        <family val="2"/>
        <scheme val="none"/>
      </font>
      <numFmt numFmtId="34" formatCode="_(&quot;$&quot;* #,##0.00_);_(&quot;$&quot;* \(#,##0.00\);_(&quot;$&quot;* &quot;-&quot;??_);_(@_)"/>
      <fill>
        <patternFill patternType="solid">
          <fgColor indexed="64"/>
          <bgColor theme="7" tint="0.499984740745262"/>
        </patternFill>
      </fill>
      <alignment horizontal="center" textRotation="0" indent="0" justifyLastLine="0" shrinkToFit="0" readingOrder="0"/>
      <border diagonalUp="0" diagonalDown="0" outline="0">
        <left style="thin">
          <color theme="1"/>
        </left>
        <right/>
        <top style="thin">
          <color theme="1"/>
        </top>
        <bottom style="thin">
          <color theme="1"/>
        </bottom>
      </border>
    </dxf>
    <dxf>
      <font>
        <strike val="0"/>
        <outline val="0"/>
        <shadow val="0"/>
        <vertAlign val="baseline"/>
        <name val="Calibri"/>
        <family val="2"/>
        <scheme val="none"/>
      </font>
      <alignment wrapText="1"/>
    </dxf>
    <dxf>
      <font>
        <strike val="0"/>
        <outline val="0"/>
        <shadow val="0"/>
        <vertAlign val="baseline"/>
        <name val="Calibri"/>
        <family val="2"/>
        <scheme val="none"/>
      </font>
      <alignment horizontal="center" textRotation="0" indent="0" justifyLastLine="0" shrinkToFit="0" readingOrder="0"/>
    </dxf>
    <dxf>
      <font>
        <strike val="0"/>
        <outline val="0"/>
        <shadow val="0"/>
        <vertAlign val="baseline"/>
        <name val="Calibri"/>
        <family val="2"/>
        <scheme val="none"/>
      </font>
    </dxf>
    <dxf>
      <font>
        <strike val="0"/>
        <outline val="0"/>
        <shadow val="0"/>
        <vertAlign val="baseline"/>
        <name val="Calibri"/>
        <family val="2"/>
        <scheme val="none"/>
      </font>
      <border diagonalUp="0" diagonalDown="0" outline="0">
        <left style="medium">
          <color indexed="64"/>
        </left>
      </border>
    </dxf>
    <dxf>
      <font>
        <strike val="0"/>
        <outline val="0"/>
        <shadow val="0"/>
        <vertAlign val="baseline"/>
        <name val="Calibri"/>
        <family val="2"/>
        <scheme val="none"/>
      </font>
    </dxf>
    <dxf>
      <border>
        <bottom style="thin">
          <color indexed="64"/>
        </bottom>
      </border>
    </dxf>
    <dxf>
      <font>
        <b/>
        <strike val="0"/>
        <outline val="0"/>
        <shadow val="0"/>
        <vertAlign val="baseline"/>
        <color auto="1"/>
        <name val="Calibri"/>
        <family val="2"/>
        <scheme val="none"/>
      </font>
      <border diagonalUp="0" diagonalDown="0">
        <left style="thin">
          <color indexed="64"/>
        </left>
        <right style="thin">
          <color indexed="64"/>
        </right>
        <top/>
        <bottom/>
        <vertical style="thin">
          <color indexed="64"/>
        </vertical>
        <horizontal/>
      </border>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TableStyle="Invoice" defaultPivotStyle="PivotStyleLight16">
    <tableStyle name="Invoice" pivot="0" count="6" xr9:uid="{00000000-0011-0000-FFFF-FFFF00000000}">
      <tableStyleElement type="wholeTable" dxfId="15"/>
      <tableStyleElement type="headerRow" dxfId="14"/>
      <tableStyleElement type="totalRow" dxfId="13"/>
      <tableStyleElement type="lastColumn" dxfId="12"/>
      <tableStyleElement type="firstRowStripe" dxfId="11"/>
      <tableStyleElement type="secondRow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C5FCB6"/>
      <color rgb="FFA7FC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188819</xdr:colOff>
      <xdr:row>0</xdr:row>
      <xdr:rowOff>57150</xdr:rowOff>
    </xdr:from>
    <xdr:to>
      <xdr:col>4</xdr:col>
      <xdr:colOff>1207789</xdr:colOff>
      <xdr:row>0</xdr:row>
      <xdr:rowOff>375396</xdr:rowOff>
    </xdr:to>
    <xdr:pic>
      <xdr:nvPicPr>
        <xdr:cNvPr id="2" name="Picture 1">
          <a:extLst>
            <a:ext uri="{FF2B5EF4-FFF2-40B4-BE49-F238E27FC236}">
              <a16:creationId xmlns:a16="http://schemas.microsoft.com/office/drawing/2014/main" id="{96AAE276-9685-033F-06B1-B7E3D3A9522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6998" b="25322"/>
        <a:stretch/>
      </xdr:blipFill>
      <xdr:spPr bwMode="auto">
        <a:xfrm>
          <a:off x="7226113" y="57150"/>
          <a:ext cx="2300923" cy="318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J61" totalsRowShown="0" headerRowDxfId="9" dataDxfId="7" headerRowBorderDxfId="8" headerRowCellStyle="Heading 2">
  <autoFilter ref="B8:J61"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000-000001000000}" name="Desciption" dataDxfId="6"/>
    <tableColumn id="2" xr3:uid="{00000000-0010-0000-0000-000002000000}" name="Detail/Notes" dataDxfId="5"/>
    <tableColumn id="7" xr3:uid="{00000000-0010-0000-0000-000007000000}" name="Unit Type" dataDxfId="4"/>
    <tableColumn id="11" xr3:uid="{A9CF0721-C677-4E0B-8570-F48BB90F814E}" name="Material Qty"/>
    <tableColumn id="8" xr3:uid="{00000000-0010-0000-0000-000008000000}" name="Material Unit Price" dataDxfId="3"/>
    <tableColumn id="9" xr3:uid="{7A99D906-7FD7-40DD-8D23-E301985D2A22}" name="Material Total" dataDxfId="2" dataCellStyle="Quantity">
      <calculatedColumnFormula>SimpleInvoice[[#This Row],[Material Qty]]*SimpleInvoice[[#This Row],[Material Unit Price]]</calculatedColumnFormula>
    </tableColumn>
    <tableColumn id="6" xr3:uid="{95F91D3B-501F-4434-BBE3-FA8A944F555B}" name="Labor Total" dataDxfId="1" dataCellStyle="Quantity"/>
    <tableColumn id="4" xr3:uid="{956EFF61-0AD1-41E4-9692-0BA137D9CF43}" name="Subcontracted_x000a_Y/N"/>
    <tableColumn id="3" xr3:uid="{1658FC93-62B5-4EC7-9857-E2AE6834EC8E}" name="Total Cost" dataDxfId="0">
      <calculatedColumnFormula>SimpleInvoice[[#This Row],[Material Total]]+SimpleInvoice[[#This Row],[Labor Total]]</calculatedColumnFormula>
    </tableColumn>
  </tableColumns>
  <tableStyleInfo name="TableStyleLight1" showFirstColumn="0" showLastColumn="1" showRowStripes="1" showColumnStripes="0"/>
  <extLst>
    <ext xmlns:x14="http://schemas.microsoft.com/office/spreadsheetml/2009/9/main" uri="{504A1905-F514-4f6f-8877-14C23A59335A}">
      <x14:table altTextSummary="Invoice list with item #, description, quantity, unit price, discount and price"/>
    </ext>
  </extLst>
</table>
</file>

<file path=xl/theme/theme1.xml><?xml version="1.0" encoding="utf-8"?>
<a:theme xmlns:a="http://schemas.openxmlformats.org/drawingml/2006/main" name="ES Theme">
  <a:themeElements>
    <a:clrScheme name="Custom 1">
      <a:dk1>
        <a:srgbClr val="000000"/>
      </a:dk1>
      <a:lt1>
        <a:srgbClr val="FFFFFF"/>
      </a:lt1>
      <a:dk2>
        <a:srgbClr val="289B99"/>
      </a:dk2>
      <a:lt2>
        <a:srgbClr val="FFFFFF"/>
      </a:lt2>
      <a:accent1>
        <a:srgbClr val="007749"/>
      </a:accent1>
      <a:accent2>
        <a:srgbClr val="00B140"/>
      </a:accent2>
      <a:accent3>
        <a:srgbClr val="00AEEF"/>
      </a:accent3>
      <a:accent4>
        <a:srgbClr val="04415C"/>
      </a:accent4>
      <a:accent5>
        <a:srgbClr val="7DC718"/>
      </a:accent5>
      <a:accent6>
        <a:srgbClr val="CDDC31"/>
      </a:accent6>
      <a:hlink>
        <a:srgbClr val="0092CC"/>
      </a:hlink>
      <a:folHlink>
        <a:srgbClr val="808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bg1"/>
        </a:solidFill>
        <a:ln w="9525" cap="flat" cmpd="sng" algn="ctr">
          <a:noFill/>
          <a:prstDash val="solid"/>
          <a:round/>
          <a:headEnd type="none" w="med" len="med"/>
          <a:tailEnd type="oval" w="med" len="med"/>
        </a:ln>
        <a:effectLst/>
      </a:spPr>
      <a:bodyPr vert="horz" wrap="square" lIns="91440" tIns="45720" rIns="91440" bIns="45720" numCol="1" rtlCol="0" anchor="t" anchorCtr="0" compatLnSpc="1">
        <a:prstTxWarp prst="textNoShape">
          <a:avLst/>
        </a:prstTxWarp>
        <a:noAutofit/>
      </a:bodyPr>
      <a:lstStyle>
        <a:defPPr marL="0" marR="0" indent="0" algn="l" defTabSz="457200" rtl="0" eaLnBrk="1" fontAlgn="base" latinLnBrk="0" hangingPunct="1">
          <a:lnSpc>
            <a:spcPct val="100000"/>
          </a:lnSpc>
          <a:spcBef>
            <a:spcPct val="50000"/>
          </a:spcBef>
          <a:spcAft>
            <a:spcPct val="0"/>
          </a:spcAft>
          <a:buClrTx/>
          <a:buSzTx/>
          <a:buFontTx/>
          <a:buNone/>
          <a:tabLst/>
          <a:defRPr kumimoji="0" sz="1800" b="1" i="0" u="none" strike="noStrike" cap="none" normalizeH="0" baseline="0">
            <a:ln>
              <a:noFill/>
            </a:ln>
            <a:solidFill>
              <a:schemeClr val="tx1"/>
            </a:solidFill>
            <a:effectLst/>
            <a:latin typeface="Arial" charset="0"/>
            <a:ea typeface="MS PGothic" pitchFamily="34" charset="-128"/>
          </a:defRPr>
        </a:defPPr>
      </a:lstStyle>
    </a:spDef>
    <a:lnDef>
      <a:spPr bwMode="auto">
        <a:xfrm>
          <a:off x="0" y="0"/>
          <a:ext cx="1" cy="1"/>
        </a:xfrm>
        <a:custGeom>
          <a:avLst/>
          <a:gdLst/>
          <a:ahLst/>
          <a:cxnLst/>
          <a:rect l="0" t="0" r="0" b="0"/>
          <a:pathLst/>
        </a:cu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cap="flat" cmpd="sng" algn="ctr">
              <a:solidFill>
                <a:schemeClr val="tx1"/>
              </a:solidFill>
              <a:prstDash val="solid"/>
              <a:round/>
              <a:headEnd type="none" w="med" len="med"/>
              <a:tailEnd type="none" w="med" len="med"/>
            </a14:hiddenLine>
          </a:ext>
          <a:ext uri="{AF507438-7753-43E0-B8FC-AC1667EBCBE1}">
            <a14:hiddenEffects xmlns:a14="http://schemas.microsoft.com/office/drawing/2010/main">
              <a:effectLst>
                <a:outerShdw dist="35921" dir="2700000" algn="ctr" rotWithShape="0">
                  <a:schemeClr val="bg2"/>
                </a:outerShdw>
              </a:effectLst>
            </a14:hiddenEffects>
          </a:ext>
        </a:extLst>
      </a:spPr>
      <a:bodyPr vert="horz" wrap="square" lIns="91440" tIns="45720" rIns="91440" bIns="45720" numCol="1" anchor="t" anchorCtr="0" compatLnSpc="1">
        <a:prstTxWarp prst="textNoShape">
          <a:avLst/>
        </a:prstTxWarp>
        <a:spAutoFit/>
      </a:bodyPr>
      <a:lstStyle>
        <a:defPPr marL="0" marR="0" indent="0" algn="l" defTabSz="457200" rtl="0" eaLnBrk="1" fontAlgn="base" latinLnBrk="0" hangingPunct="1">
          <a:lnSpc>
            <a:spcPct val="100000"/>
          </a:lnSpc>
          <a:spcBef>
            <a:spcPct val="50000"/>
          </a:spcBef>
          <a:spcAft>
            <a:spcPct val="0"/>
          </a:spcAft>
          <a:buClrTx/>
          <a:buSzTx/>
          <a:buFontTx/>
          <a:buNone/>
          <a:tabLst/>
          <a:defRPr kumimoji="0" lang="en-US" sz="1800" b="1" i="0" u="none" strike="noStrike" cap="none" normalizeH="0" baseline="0" smtClean="0">
            <a:ln>
              <a:noFill/>
            </a:ln>
            <a:solidFill>
              <a:schemeClr val="tx1"/>
            </a:solidFill>
            <a:effectLst/>
            <a:latin typeface="Arial" charset="0"/>
            <a:ea typeface="MS PGothic" pitchFamily="34" charset="-128"/>
          </a:defRPr>
        </a:defPPr>
      </a:lstStyle>
    </a:lnDef>
  </a:objectDefaults>
  <a:extraClrSchemeLst>
    <a:extraClrScheme>
      <a:clrScheme name="4_NSTAR_Top_Blue-Red 1">
        <a:dk1>
          <a:srgbClr val="000000"/>
        </a:dk1>
        <a:lt1>
          <a:srgbClr val="FFFFFF"/>
        </a:lt1>
        <a:dk2>
          <a:srgbClr val="0000FF"/>
        </a:dk2>
        <a:lt2>
          <a:srgbClr val="FFFF00"/>
        </a:lt2>
        <a:accent1>
          <a:srgbClr val="FF9900"/>
        </a:accent1>
        <a:accent2>
          <a:srgbClr val="00FFFF"/>
        </a:accent2>
        <a:accent3>
          <a:srgbClr val="AAAAFF"/>
        </a:accent3>
        <a:accent4>
          <a:srgbClr val="DADADA"/>
        </a:accent4>
        <a:accent5>
          <a:srgbClr val="FFCAAA"/>
        </a:accent5>
        <a:accent6>
          <a:srgbClr val="00E7E7"/>
        </a:accent6>
        <a:hlink>
          <a:srgbClr val="FF0000"/>
        </a:hlink>
        <a:folHlink>
          <a:srgbClr val="969696"/>
        </a:folHlink>
      </a:clrScheme>
      <a:clrMap bg1="dk2" tx1="lt1" bg2="dk1" tx2="lt2" accent1="accent1" accent2="accent2" accent3="accent3" accent4="accent4" accent5="accent5" accent6="accent6" hlink="hlink" folHlink="folHlink"/>
    </a:extraClrScheme>
    <a:extraClrScheme>
      <a:clrScheme name="4_NSTAR_Top_Blue-Red 2">
        <a:dk1>
          <a:srgbClr val="000000"/>
        </a:dk1>
        <a:lt1>
          <a:srgbClr val="FFFFFF"/>
        </a:lt1>
        <a:dk2>
          <a:srgbClr val="000000"/>
        </a:dk2>
        <a:lt2>
          <a:srgbClr val="808080"/>
        </a:lt2>
        <a:accent1>
          <a:srgbClr val="00CC99"/>
        </a:accent1>
        <a:accent2>
          <a:srgbClr val="3333CC"/>
        </a:accent2>
        <a:accent3>
          <a:srgbClr val="FFFFFF"/>
        </a:accent3>
        <a:accent4>
          <a:srgbClr val="000000"/>
        </a:accent4>
        <a:accent5>
          <a:srgbClr val="AAE2CA"/>
        </a:accent5>
        <a:accent6>
          <a:srgbClr val="2D2DB9"/>
        </a:accent6>
        <a:hlink>
          <a:srgbClr val="CCCCFF"/>
        </a:hlink>
        <a:folHlink>
          <a:srgbClr val="B2B2B2"/>
        </a:folHlink>
      </a:clrScheme>
      <a:clrMap bg1="lt1" tx1="dk1" bg2="lt2" tx2="dk2" accent1="accent1" accent2="accent2" accent3="accent3" accent4="accent4" accent5="accent5" accent6="accent6" hlink="hlink" folHlink="folHlink"/>
    </a:extraClrScheme>
    <a:extraClrScheme>
      <a:clrScheme name="4_NSTAR_Top_Blue-Red 3">
        <a:dk1>
          <a:srgbClr val="000000"/>
        </a:dk1>
        <a:lt1>
          <a:srgbClr val="FFFFFF"/>
        </a:lt1>
        <a:dk2>
          <a:srgbClr val="000000"/>
        </a:dk2>
        <a:lt2>
          <a:srgbClr val="333333"/>
        </a:lt2>
        <a:accent1>
          <a:srgbClr val="DDDDDD"/>
        </a:accent1>
        <a:accent2>
          <a:srgbClr val="808080"/>
        </a:accent2>
        <a:accent3>
          <a:srgbClr val="FFFFFF"/>
        </a:accent3>
        <a:accent4>
          <a:srgbClr val="000000"/>
        </a:accent4>
        <a:accent5>
          <a:srgbClr val="EBEBEB"/>
        </a:accent5>
        <a:accent6>
          <a:srgbClr val="737373"/>
        </a:accent6>
        <a:hlink>
          <a:srgbClr val="4D4D4D"/>
        </a:hlink>
        <a:folHlink>
          <a:srgbClr val="EAEAEA"/>
        </a:folHlink>
      </a:clrScheme>
      <a:clrMap bg1="lt1" tx1="dk1" bg2="lt2" tx2="dk2" accent1="accent1" accent2="accent2" accent3="accent3" accent4="accent4" accent5="accent5" accent6="accent6" hlink="hlink" folHlink="folHlink"/>
    </a:extraClrScheme>
    <a:extraClrScheme>
      <a:clrScheme name="4_NSTAR_Top_Blue-Red 4">
        <a:dk1>
          <a:srgbClr val="000000"/>
        </a:dk1>
        <a:lt1>
          <a:srgbClr val="FFFFCC"/>
        </a:lt1>
        <a:dk2>
          <a:srgbClr val="808000"/>
        </a:dk2>
        <a:lt2>
          <a:srgbClr val="666633"/>
        </a:lt2>
        <a:accent1>
          <a:srgbClr val="339933"/>
        </a:accent1>
        <a:accent2>
          <a:srgbClr val="800000"/>
        </a:accent2>
        <a:accent3>
          <a:srgbClr val="FFFFE2"/>
        </a:accent3>
        <a:accent4>
          <a:srgbClr val="000000"/>
        </a:accent4>
        <a:accent5>
          <a:srgbClr val="ADCAAD"/>
        </a:accent5>
        <a:accent6>
          <a:srgbClr val="730000"/>
        </a:accent6>
        <a:hlink>
          <a:srgbClr val="0033CC"/>
        </a:hlink>
        <a:folHlink>
          <a:srgbClr val="FFCC66"/>
        </a:folHlink>
      </a:clrScheme>
      <a:clrMap bg1="lt1" tx1="dk1" bg2="lt2" tx2="dk2" accent1="accent1" accent2="accent2" accent3="accent3" accent4="accent4" accent5="accent5" accent6="accent6" hlink="hlink" folHlink="folHlink"/>
    </a:extraClrScheme>
    <a:extraClrScheme>
      <a:clrScheme name="4_NSTAR_Top_Blue-Red 5">
        <a:dk1>
          <a:srgbClr val="000000"/>
        </a:dk1>
        <a:lt1>
          <a:srgbClr val="FFFFFF"/>
        </a:lt1>
        <a:dk2>
          <a:srgbClr val="000000"/>
        </a:dk2>
        <a:lt2>
          <a:srgbClr val="808080"/>
        </a:lt2>
        <a:accent1>
          <a:srgbClr val="FFCC66"/>
        </a:accent1>
        <a:accent2>
          <a:srgbClr val="0000FF"/>
        </a:accent2>
        <a:accent3>
          <a:srgbClr val="FFFFFF"/>
        </a:accent3>
        <a:accent4>
          <a:srgbClr val="000000"/>
        </a:accent4>
        <a:accent5>
          <a:srgbClr val="FFE2B8"/>
        </a:accent5>
        <a:accent6>
          <a:srgbClr val="0000E7"/>
        </a:accent6>
        <a:hlink>
          <a:srgbClr val="CC00CC"/>
        </a:hlink>
        <a:folHlink>
          <a:srgbClr val="C0C0C0"/>
        </a:folHlink>
      </a:clrScheme>
      <a:clrMap bg1="lt1" tx1="dk1" bg2="lt2" tx2="dk2" accent1="accent1" accent2="accent2" accent3="accent3" accent4="accent4" accent5="accent5" accent6="accent6" hlink="hlink" folHlink="folHlink"/>
    </a:extraClrScheme>
    <a:extraClrScheme>
      <a:clrScheme name="4_NSTAR_Top_Blue-Red 6">
        <a:dk1>
          <a:srgbClr val="000000"/>
        </a:dk1>
        <a:lt1>
          <a:srgbClr val="FFFFFF"/>
        </a:lt1>
        <a:dk2>
          <a:srgbClr val="000000"/>
        </a:dk2>
        <a:lt2>
          <a:srgbClr val="808080"/>
        </a:lt2>
        <a:accent1>
          <a:srgbClr val="C0C0C0"/>
        </a:accent1>
        <a:accent2>
          <a:srgbClr val="0066FF"/>
        </a:accent2>
        <a:accent3>
          <a:srgbClr val="FFFFFF"/>
        </a:accent3>
        <a:accent4>
          <a:srgbClr val="000000"/>
        </a:accent4>
        <a:accent5>
          <a:srgbClr val="DCDCDC"/>
        </a:accent5>
        <a:accent6>
          <a:srgbClr val="005CE7"/>
        </a:accent6>
        <a:hlink>
          <a:srgbClr val="FF0000"/>
        </a:hlink>
        <a:folHlink>
          <a:srgbClr val="009900"/>
        </a:folHlink>
      </a:clrScheme>
      <a:clrMap bg1="lt1" tx1="dk1" bg2="lt2" tx2="dk2" accent1="accent1" accent2="accent2" accent3="accent3" accent4="accent4" accent5="accent5" accent6="accent6" hlink="hlink" folHlink="folHlink"/>
    </a:extraClrScheme>
    <a:extraClrScheme>
      <a:clrScheme name="4_NSTAR_Top_Blue-Red 7">
        <a:dk1>
          <a:srgbClr val="000000"/>
        </a:dk1>
        <a:lt1>
          <a:srgbClr val="FFFFFF"/>
        </a:lt1>
        <a:dk2>
          <a:srgbClr val="000000"/>
        </a:dk2>
        <a:lt2>
          <a:srgbClr val="808080"/>
        </a:lt2>
        <a:accent1>
          <a:srgbClr val="3399FF"/>
        </a:accent1>
        <a:accent2>
          <a:srgbClr val="99FFCC"/>
        </a:accent2>
        <a:accent3>
          <a:srgbClr val="FFFFFF"/>
        </a:accent3>
        <a:accent4>
          <a:srgbClr val="000000"/>
        </a:accent4>
        <a:accent5>
          <a:srgbClr val="ADCAFF"/>
        </a:accent5>
        <a:accent6>
          <a:srgbClr val="8AE7B9"/>
        </a:accent6>
        <a:hlink>
          <a:srgbClr val="CC00CC"/>
        </a:hlink>
        <a:folHlink>
          <a:srgbClr val="B2B2B2"/>
        </a:folHlink>
      </a:clrScheme>
      <a:clrMap bg1="lt1" tx1="dk1" bg2="lt2" tx2="dk2" accent1="accent1" accent2="accent2" accent3="accent3" accent4="accent4" accent5="accent5" accent6="accent6" hlink="hlink" folHlink="folHlink"/>
    </a:extraClrScheme>
  </a:extraClrSchemeLst>
  <a:extLst>
    <a:ext uri="{05A4C25C-085E-4340-85A3-A5531E510DB2}">
      <thm15:themeFamily xmlns:thm15="http://schemas.microsoft.com/office/thememl/2012/main" name="ES Theme" id="{CA97371A-03D3-4B1D-BCE3-48390699BC84}" vid="{6D67B392-D226-40BA-836F-E08FCFE6E03C}"/>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N68"/>
  <sheetViews>
    <sheetView showGridLines="0" tabSelected="1" zoomScale="70" zoomScaleNormal="70" workbookViewId="0">
      <selection activeCell="B12" sqref="B12"/>
    </sheetView>
  </sheetViews>
  <sheetFormatPr defaultColWidth="8.875" defaultRowHeight="33.950000000000003" customHeight="1" x14ac:dyDescent="0.2"/>
  <cols>
    <col min="1" max="1" width="2.625" style="2" customWidth="1"/>
    <col min="2" max="2" width="45.375" style="2" customWidth="1"/>
    <col min="3" max="3" width="44.375" style="2" customWidth="1"/>
    <col min="4" max="4" width="16.75" style="52" customWidth="1"/>
    <col min="5" max="6" width="16.75" style="2" customWidth="1"/>
    <col min="7" max="7" width="18.375" style="52" customWidth="1"/>
    <col min="8" max="10" width="18.375" style="2" customWidth="1"/>
    <col min="11" max="11" width="18.875" style="2" customWidth="1"/>
    <col min="12" max="12" width="30.5" style="3" customWidth="1"/>
    <col min="13" max="13" width="12.875" style="2" customWidth="1"/>
    <col min="14" max="14" width="11.375" style="2" customWidth="1"/>
    <col min="15" max="16384" width="8.875" style="2"/>
  </cols>
  <sheetData>
    <row r="1" spans="1:14" ht="33.950000000000003" customHeight="1" thickBot="1" x14ac:dyDescent="0.25"/>
    <row r="2" spans="1:14" s="5" customFormat="1" ht="21" customHeight="1" x14ac:dyDescent="0.2">
      <c r="A2" s="1"/>
      <c r="B2" s="145" t="s">
        <v>1</v>
      </c>
      <c r="C2" s="146"/>
      <c r="D2" s="146"/>
      <c r="E2" s="146"/>
      <c r="F2" s="146"/>
      <c r="G2" s="146"/>
      <c r="H2" s="146"/>
      <c r="I2" s="146"/>
      <c r="J2" s="147"/>
      <c r="K2" s="2"/>
      <c r="L2" s="3"/>
      <c r="M2" s="4"/>
      <c r="N2" s="2"/>
    </row>
    <row r="3" spans="1:14" s="5" customFormat="1" ht="20.45" customHeight="1" x14ac:dyDescent="0.2">
      <c r="A3" s="1"/>
      <c r="B3" s="75" t="s">
        <v>44</v>
      </c>
      <c r="C3" s="154" t="s">
        <v>57</v>
      </c>
      <c r="D3" s="158"/>
      <c r="E3" s="154" t="s">
        <v>58</v>
      </c>
      <c r="F3" s="155"/>
      <c r="G3" s="158"/>
      <c r="H3" s="154" t="s">
        <v>56</v>
      </c>
      <c r="I3" s="155"/>
      <c r="J3" s="156"/>
      <c r="K3" s="2"/>
      <c r="L3" s="3"/>
      <c r="M3" s="4"/>
      <c r="N3" s="2"/>
    </row>
    <row r="4" spans="1:14" s="5" customFormat="1" ht="20.45" customHeight="1" x14ac:dyDescent="0.2">
      <c r="A4" s="1"/>
      <c r="B4" s="75"/>
      <c r="C4" s="148" t="s">
        <v>2</v>
      </c>
      <c r="D4" s="159"/>
      <c r="E4" s="151" t="s">
        <v>45</v>
      </c>
      <c r="F4" s="152"/>
      <c r="G4" s="157"/>
      <c r="H4" s="151" t="s">
        <v>46</v>
      </c>
      <c r="I4" s="152"/>
      <c r="J4" s="153"/>
      <c r="K4" s="2"/>
      <c r="L4" s="3"/>
      <c r="M4" s="4"/>
      <c r="N4" s="2"/>
    </row>
    <row r="5" spans="1:14" ht="20.45" customHeight="1" x14ac:dyDescent="0.2">
      <c r="B5" s="75"/>
      <c r="C5" s="148" t="s">
        <v>47</v>
      </c>
      <c r="D5" s="159"/>
      <c r="E5" s="151"/>
      <c r="F5" s="152"/>
      <c r="G5" s="157"/>
      <c r="H5" s="148"/>
      <c r="I5" s="149"/>
      <c r="J5" s="150"/>
      <c r="M5" s="4"/>
    </row>
    <row r="6" spans="1:14" ht="20.45" customHeight="1" x14ac:dyDescent="0.2">
      <c r="B6" s="103"/>
      <c r="C6" s="104"/>
      <c r="D6" s="105"/>
      <c r="E6" s="106"/>
      <c r="F6" s="106"/>
      <c r="G6" s="106"/>
      <c r="H6" s="105"/>
      <c r="I6" s="105"/>
      <c r="J6" s="107"/>
      <c r="M6" s="4"/>
    </row>
    <row r="7" spans="1:14" ht="20.45" customHeight="1" thickBot="1" x14ac:dyDescent="0.25">
      <c r="B7" s="76"/>
      <c r="C7" s="160"/>
      <c r="D7" s="161"/>
      <c r="E7" s="161"/>
      <c r="F7" s="161"/>
      <c r="G7" s="161"/>
      <c r="H7" s="161"/>
      <c r="I7" s="161"/>
      <c r="J7" s="162"/>
      <c r="M7" s="4"/>
    </row>
    <row r="8" spans="1:14" ht="38.25" customHeight="1" x14ac:dyDescent="0.2">
      <c r="B8" s="7" t="s">
        <v>3</v>
      </c>
      <c r="C8" s="8" t="s">
        <v>4</v>
      </c>
      <c r="D8" s="44" t="s">
        <v>5</v>
      </c>
      <c r="E8" s="44" t="s">
        <v>6</v>
      </c>
      <c r="F8" s="74" t="s">
        <v>7</v>
      </c>
      <c r="G8" s="74" t="s">
        <v>8</v>
      </c>
      <c r="H8" s="74" t="s">
        <v>9</v>
      </c>
      <c r="I8" s="89" t="s">
        <v>35</v>
      </c>
      <c r="J8" s="45" t="s">
        <v>10</v>
      </c>
      <c r="L8" s="2"/>
    </row>
    <row r="9" spans="1:14" ht="30" customHeight="1" x14ac:dyDescent="0.2">
      <c r="B9" s="9" t="s">
        <v>11</v>
      </c>
      <c r="C9" s="37"/>
      <c r="D9" s="47"/>
      <c r="E9" s="38"/>
      <c r="F9" s="39"/>
      <c r="G9" s="56"/>
      <c r="H9" s="98"/>
      <c r="I9" s="99"/>
      <c r="J9" s="92"/>
      <c r="L9" s="2"/>
    </row>
    <row r="10" spans="1:14" ht="30" customHeight="1" x14ac:dyDescent="0.2">
      <c r="B10" s="10" t="s">
        <v>12</v>
      </c>
      <c r="C10" s="11"/>
      <c r="D10" s="53" t="s">
        <v>13</v>
      </c>
      <c r="E10" s="87"/>
      <c r="F10" s="88"/>
      <c r="G10" s="91"/>
      <c r="H10" s="54"/>
      <c r="I10" s="100"/>
      <c r="J10" s="93">
        <f>SimpleInvoice[[#This Row],[Material Total]]+SimpleInvoice[[#This Row],[Labor Total]]</f>
        <v>0</v>
      </c>
      <c r="L10" s="2"/>
    </row>
    <row r="11" spans="1:14" ht="30" customHeight="1" x14ac:dyDescent="0.2">
      <c r="B11" s="10" t="s">
        <v>14</v>
      </c>
      <c r="C11" s="11"/>
      <c r="D11" s="53" t="s">
        <v>13</v>
      </c>
      <c r="E11" s="87"/>
      <c r="F11" s="88"/>
      <c r="G11" s="91"/>
      <c r="H11" s="54"/>
      <c r="I11" s="100"/>
      <c r="J11" s="93">
        <f>SimpleInvoice[[#This Row],[Material Total]]+SimpleInvoice[[#This Row],[Labor Total]]</f>
        <v>0</v>
      </c>
      <c r="L11" s="2"/>
    </row>
    <row r="12" spans="1:14" ht="30" customHeight="1" x14ac:dyDescent="0.2">
      <c r="B12" s="9" t="s">
        <v>63</v>
      </c>
      <c r="C12" s="6"/>
      <c r="D12" s="46"/>
      <c r="E12" s="6"/>
      <c r="F12" s="6"/>
      <c r="G12" s="57"/>
      <c r="H12" s="101"/>
      <c r="I12" s="101"/>
      <c r="J12" s="94"/>
      <c r="K12" s="3"/>
      <c r="L12" s="2"/>
    </row>
    <row r="13" spans="1:14" ht="30" customHeight="1" x14ac:dyDescent="0.2">
      <c r="B13" s="10" t="s">
        <v>49</v>
      </c>
      <c r="C13" s="11"/>
      <c r="D13" s="48" t="s">
        <v>15</v>
      </c>
      <c r="E13" s="34"/>
      <c r="F13" s="13"/>
      <c r="G13" s="13">
        <f>SimpleInvoice[[#This Row],[Material Qty]]*SimpleInvoice[[#This Row],[Material Unit Price]]</f>
        <v>0</v>
      </c>
      <c r="H13" s="33"/>
      <c r="I13" s="90"/>
      <c r="J13" s="116">
        <f>SimpleInvoice[[#This Row],[Material Total]]+SimpleInvoice[[#This Row],[Labor Total]]</f>
        <v>0</v>
      </c>
      <c r="K13" s="3"/>
      <c r="L13" s="2"/>
    </row>
    <row r="14" spans="1:14" ht="30" customHeight="1" x14ac:dyDescent="0.2">
      <c r="B14" s="10" t="s">
        <v>52</v>
      </c>
      <c r="C14" s="11"/>
      <c r="D14" s="48" t="s">
        <v>15</v>
      </c>
      <c r="E14" s="34"/>
      <c r="F14" s="13"/>
      <c r="G14" s="13">
        <f>SimpleInvoice[[#This Row],[Material Qty]]*SimpleInvoice[[#This Row],[Material Unit Price]]</f>
        <v>0</v>
      </c>
      <c r="H14" s="33"/>
      <c r="I14" s="90"/>
      <c r="J14" s="116">
        <f>SimpleInvoice[[#This Row],[Material Total]]+SimpleInvoice[[#This Row],[Labor Total]]</f>
        <v>0</v>
      </c>
      <c r="K14" s="3"/>
      <c r="L14" s="2"/>
    </row>
    <row r="15" spans="1:14" ht="30" customHeight="1" x14ac:dyDescent="0.2">
      <c r="B15" s="10" t="s">
        <v>50</v>
      </c>
      <c r="C15" s="11"/>
      <c r="D15" s="48" t="s">
        <v>15</v>
      </c>
      <c r="E15" s="34"/>
      <c r="F15" s="13"/>
      <c r="G15" s="13">
        <f>SimpleInvoice[[#This Row],[Material Qty]]*SimpleInvoice[[#This Row],[Material Unit Price]]</f>
        <v>0</v>
      </c>
      <c r="H15" s="33"/>
      <c r="I15" s="90"/>
      <c r="J15" s="116">
        <f>SimpleInvoice[[#This Row],[Material Total]]+SimpleInvoice[[#This Row],[Labor Total]]</f>
        <v>0</v>
      </c>
      <c r="K15" s="3"/>
      <c r="L15" s="2"/>
    </row>
    <row r="16" spans="1:14" ht="30" customHeight="1" x14ac:dyDescent="0.2">
      <c r="B16" s="10" t="s">
        <v>51</v>
      </c>
      <c r="C16" s="11"/>
      <c r="D16" s="48" t="s">
        <v>15</v>
      </c>
      <c r="E16" s="34"/>
      <c r="F16" s="13"/>
      <c r="G16" s="13">
        <f>SimpleInvoice[[#This Row],[Material Qty]]*SimpleInvoice[[#This Row],[Material Unit Price]]</f>
        <v>0</v>
      </c>
      <c r="H16" s="33"/>
      <c r="I16" s="90"/>
      <c r="J16" s="116">
        <f>SimpleInvoice[[#This Row],[Material Total]]+SimpleInvoice[[#This Row],[Labor Total]]</f>
        <v>0</v>
      </c>
      <c r="K16" s="3"/>
      <c r="L16" s="2"/>
    </row>
    <row r="17" spans="2:12" ht="30" customHeight="1" x14ac:dyDescent="0.2">
      <c r="B17" s="10" t="s">
        <v>16</v>
      </c>
      <c r="C17" s="11"/>
      <c r="D17" s="48" t="s">
        <v>17</v>
      </c>
      <c r="E17" s="34"/>
      <c r="F17" s="13"/>
      <c r="G17" s="13">
        <f>SimpleInvoice[[#This Row],[Material Qty]]*SimpleInvoice[[#This Row],[Material Unit Price]]</f>
        <v>0</v>
      </c>
      <c r="H17" s="33"/>
      <c r="I17" s="90"/>
      <c r="J17" s="116">
        <f>SimpleInvoice[[#This Row],[Material Total]]+SimpleInvoice[[#This Row],[Labor Total]]</f>
        <v>0</v>
      </c>
      <c r="K17" s="3"/>
      <c r="L17" s="2"/>
    </row>
    <row r="18" spans="2:12" ht="30" customHeight="1" x14ac:dyDescent="0.2">
      <c r="B18" s="14" t="s">
        <v>18</v>
      </c>
      <c r="C18" s="11"/>
      <c r="D18" s="48" t="s">
        <v>17</v>
      </c>
      <c r="E18" s="12"/>
      <c r="F18" s="33"/>
      <c r="G18" s="112">
        <f>SimpleInvoice[[#This Row],[Material Qty]]*SimpleInvoice[[#This Row],[Material Unit Price]]</f>
        <v>0</v>
      </c>
      <c r="H18" s="12"/>
      <c r="I18" s="102"/>
      <c r="J18" s="116">
        <f>SimpleInvoice[[#This Row],[Material Total]]+SimpleInvoice[[#This Row],[Labor Total]]</f>
        <v>0</v>
      </c>
      <c r="K18" s="3"/>
      <c r="L18" s="2"/>
    </row>
    <row r="19" spans="2:12" ht="30" customHeight="1" x14ac:dyDescent="0.2">
      <c r="B19" s="10" t="s">
        <v>19</v>
      </c>
      <c r="C19" s="11" t="s">
        <v>21</v>
      </c>
      <c r="D19" s="48" t="s">
        <v>13</v>
      </c>
      <c r="E19" s="12"/>
      <c r="F19" s="33"/>
      <c r="G19" s="112">
        <f>SimpleInvoice[[#This Row],[Material Qty]]*SimpleInvoice[[#This Row],[Material Unit Price]]</f>
        <v>0</v>
      </c>
      <c r="H19" s="33"/>
      <c r="I19" s="90"/>
      <c r="J19" s="116">
        <f>SimpleInvoice[[#This Row],[Material Total]]+SimpleInvoice[[#This Row],[Labor Total]]</f>
        <v>0</v>
      </c>
      <c r="K19" s="3"/>
      <c r="L19" s="2"/>
    </row>
    <row r="20" spans="2:12" ht="30" customHeight="1" x14ac:dyDescent="0.2">
      <c r="B20" s="14" t="s">
        <v>77</v>
      </c>
      <c r="C20" s="11" t="s">
        <v>21</v>
      </c>
      <c r="D20" s="48" t="s">
        <v>13</v>
      </c>
      <c r="E20" s="12"/>
      <c r="F20" s="33"/>
      <c r="G20" s="112">
        <f>SimpleInvoice[[#This Row],[Material Qty]]*SimpleInvoice[[#This Row],[Material Unit Price]]</f>
        <v>0</v>
      </c>
      <c r="H20" s="33"/>
      <c r="I20" s="90"/>
      <c r="J20" s="116">
        <f>SimpleInvoice[[#This Row],[Material Total]]+SimpleInvoice[[#This Row],[Labor Total]]</f>
        <v>0</v>
      </c>
      <c r="K20" s="3"/>
      <c r="L20" s="2"/>
    </row>
    <row r="21" spans="2:12" ht="30" customHeight="1" x14ac:dyDescent="0.2">
      <c r="B21" s="14" t="s">
        <v>78</v>
      </c>
      <c r="C21" s="11" t="s">
        <v>21</v>
      </c>
      <c r="D21" s="48" t="s">
        <v>13</v>
      </c>
      <c r="E21" s="12"/>
      <c r="F21" s="33"/>
      <c r="G21" s="112">
        <f>SimpleInvoice[[#This Row],[Material Qty]]*SimpleInvoice[[#This Row],[Material Unit Price]]</f>
        <v>0</v>
      </c>
      <c r="H21" s="33"/>
      <c r="I21" s="90"/>
      <c r="J21" s="116">
        <f>SimpleInvoice[[#This Row],[Material Total]]+SimpleInvoice[[#This Row],[Labor Total]]</f>
        <v>0</v>
      </c>
      <c r="K21" s="3"/>
      <c r="L21" s="2"/>
    </row>
    <row r="22" spans="2:12" ht="30" customHeight="1" x14ac:dyDescent="0.2">
      <c r="B22" s="14" t="s">
        <v>20</v>
      </c>
      <c r="C22" s="11" t="s">
        <v>21</v>
      </c>
      <c r="D22" s="48" t="s">
        <v>13</v>
      </c>
      <c r="E22" s="12"/>
      <c r="F22" s="33"/>
      <c r="G22" s="112">
        <f>SimpleInvoice[[#This Row],[Material Qty]]*SimpleInvoice[[#This Row],[Material Unit Price]]</f>
        <v>0</v>
      </c>
      <c r="H22" s="33"/>
      <c r="I22" s="90"/>
      <c r="J22" s="116">
        <f>SimpleInvoice[[#This Row],[Material Total]]+SimpleInvoice[[#This Row],[Labor Total]]</f>
        <v>0</v>
      </c>
      <c r="K22" s="3"/>
      <c r="L22" s="2"/>
    </row>
    <row r="23" spans="2:12" ht="30" customHeight="1" x14ac:dyDescent="0.2">
      <c r="B23" s="9" t="s">
        <v>103</v>
      </c>
      <c r="C23" s="6"/>
      <c r="D23" s="46"/>
      <c r="E23" s="6"/>
      <c r="F23" s="6"/>
      <c r="G23" s="57"/>
      <c r="H23" s="111"/>
      <c r="I23" s="111"/>
      <c r="J23" s="117"/>
      <c r="K23" s="3"/>
      <c r="L23" s="2"/>
    </row>
    <row r="24" spans="2:12" ht="30" customHeight="1" x14ac:dyDescent="0.2">
      <c r="B24" s="10" t="s">
        <v>65</v>
      </c>
      <c r="C24" s="11"/>
      <c r="D24" s="48" t="s">
        <v>15</v>
      </c>
      <c r="E24" s="12"/>
      <c r="F24" s="33"/>
      <c r="G24" s="13">
        <f>SimpleInvoice[[#This Row],[Material Qty]]*SimpleInvoice[[#This Row],[Material Unit Price]]</f>
        <v>0</v>
      </c>
      <c r="H24" s="33"/>
      <c r="I24" s="90"/>
      <c r="J24" s="116">
        <f>SimpleInvoice[[#This Row],[Material Total]]+SimpleInvoice[[#This Row],[Labor Total]]</f>
        <v>0</v>
      </c>
      <c r="K24" s="3"/>
      <c r="L24" s="2"/>
    </row>
    <row r="25" spans="2:12" ht="30" customHeight="1" x14ac:dyDescent="0.2">
      <c r="B25" s="10" t="s">
        <v>66</v>
      </c>
      <c r="C25" s="11"/>
      <c r="D25" s="48" t="s">
        <v>15</v>
      </c>
      <c r="E25" s="12"/>
      <c r="F25" s="33"/>
      <c r="G25" s="13">
        <f>SimpleInvoice[[#This Row],[Material Qty]]*SimpleInvoice[[#This Row],[Material Unit Price]]</f>
        <v>0</v>
      </c>
      <c r="H25" s="33"/>
      <c r="I25" s="90"/>
      <c r="J25" s="116">
        <f>SimpleInvoice[[#This Row],[Material Total]]+SimpleInvoice[[#This Row],[Labor Total]]</f>
        <v>0</v>
      </c>
      <c r="K25" s="3"/>
      <c r="L25" s="2"/>
    </row>
    <row r="26" spans="2:12" ht="30" customHeight="1" x14ac:dyDescent="0.2">
      <c r="B26" s="10" t="s">
        <v>22</v>
      </c>
      <c r="C26" s="11"/>
      <c r="D26" s="48" t="s">
        <v>15</v>
      </c>
      <c r="E26" s="12"/>
      <c r="F26" s="33"/>
      <c r="G26" s="33">
        <f>SimpleInvoice[[#This Row],[Material Qty]]*SimpleInvoice[[#This Row],[Material Unit Price]]</f>
        <v>0</v>
      </c>
      <c r="H26" s="33"/>
      <c r="I26" s="90"/>
      <c r="J26" s="116">
        <f>SimpleInvoice[[#This Row],[Material Total]]+SimpleInvoice[[#This Row],[Labor Total]]</f>
        <v>0</v>
      </c>
      <c r="K26" s="3"/>
      <c r="L26" s="2"/>
    </row>
    <row r="27" spans="2:12" ht="30" customHeight="1" x14ac:dyDescent="0.2">
      <c r="B27" s="10"/>
      <c r="C27" s="11"/>
      <c r="D27" s="48"/>
      <c r="E27" s="12"/>
      <c r="F27" s="33"/>
      <c r="G27" s="122">
        <f>SimpleInvoice[[#This Row],[Material Qty]]*SimpleInvoice[[#This Row],[Material Unit Price]]</f>
        <v>0</v>
      </c>
      <c r="H27" s="42"/>
      <c r="I27" s="90"/>
      <c r="J27" s="116">
        <f>SimpleInvoice[[#This Row],[Material Total]]+SimpleInvoice[[#This Row],[Labor Total]]</f>
        <v>0</v>
      </c>
      <c r="K27" s="3"/>
      <c r="L27" s="2"/>
    </row>
    <row r="28" spans="2:12" ht="30" customHeight="1" x14ac:dyDescent="0.2">
      <c r="B28" s="10" t="s">
        <v>20</v>
      </c>
      <c r="C28" s="11" t="s">
        <v>21</v>
      </c>
      <c r="D28" s="48" t="s">
        <v>13</v>
      </c>
      <c r="E28" s="12"/>
      <c r="F28" s="33"/>
      <c r="G28" s="33">
        <f>SimpleInvoice[[#This Row],[Material Qty]]*SimpleInvoice[[#This Row],[Material Unit Price]]</f>
        <v>0</v>
      </c>
      <c r="H28" s="33"/>
      <c r="I28" s="90"/>
      <c r="J28" s="116">
        <f>SimpleInvoice[[#This Row],[Material Total]]+SimpleInvoice[[#This Row],[Labor Total]]</f>
        <v>0</v>
      </c>
      <c r="K28" s="3"/>
      <c r="L28" s="2"/>
    </row>
    <row r="29" spans="2:12" ht="30" customHeight="1" x14ac:dyDescent="0.2">
      <c r="B29" s="9" t="s">
        <v>64</v>
      </c>
      <c r="C29" s="6"/>
      <c r="D29" s="46"/>
      <c r="E29" s="6"/>
      <c r="F29" s="6"/>
      <c r="G29" s="57"/>
      <c r="H29" s="111"/>
      <c r="I29" s="111"/>
      <c r="J29" s="117"/>
      <c r="K29" s="3"/>
      <c r="L29" s="2"/>
    </row>
    <row r="30" spans="2:12" s="18" customFormat="1" ht="30" customHeight="1" x14ac:dyDescent="0.2">
      <c r="B30" s="19" t="s">
        <v>36</v>
      </c>
      <c r="C30" s="20" t="s">
        <v>48</v>
      </c>
      <c r="D30" s="49" t="s">
        <v>17</v>
      </c>
      <c r="E30" s="15"/>
      <c r="F30" s="16"/>
      <c r="G30" s="40">
        <f>SimpleInvoice[[#This Row],[Material Qty]]*SimpleInvoice[[#This Row],[Material Unit Price]]</f>
        <v>0</v>
      </c>
      <c r="H30" s="33"/>
      <c r="I30" s="90"/>
      <c r="J30" s="118">
        <f>SimpleInvoice[[#This Row],[Material Total]]+SimpleInvoice[[#This Row],[Labor Total]]</f>
        <v>0</v>
      </c>
      <c r="K30" s="17"/>
    </row>
    <row r="31" spans="2:12" s="18" customFormat="1" ht="30" customHeight="1" x14ac:dyDescent="0.2">
      <c r="B31" s="19" t="s">
        <v>37</v>
      </c>
      <c r="C31" s="20" t="s">
        <v>48</v>
      </c>
      <c r="D31" s="49" t="s">
        <v>17</v>
      </c>
      <c r="E31" s="15"/>
      <c r="F31" s="16"/>
      <c r="G31" s="40">
        <f>SimpleInvoice[[#This Row],[Material Qty]]*SimpleInvoice[[#This Row],[Material Unit Price]]</f>
        <v>0</v>
      </c>
      <c r="H31" s="12"/>
      <c r="I31" s="90"/>
      <c r="J31" s="95">
        <f>SimpleInvoice[[#This Row],[Material Total]]+SimpleInvoice[[#This Row],[Labor Total]]</f>
        <v>0</v>
      </c>
      <c r="K31" s="17"/>
    </row>
    <row r="32" spans="2:12" s="18" customFormat="1" ht="30" customHeight="1" x14ac:dyDescent="0.2">
      <c r="B32" s="19" t="s">
        <v>23</v>
      </c>
      <c r="C32" s="20"/>
      <c r="D32" s="49" t="s">
        <v>17</v>
      </c>
      <c r="E32" s="15"/>
      <c r="F32" s="16"/>
      <c r="G32" s="40">
        <f>SimpleInvoice[[#This Row],[Material Qty]]*SimpleInvoice[[#This Row],[Material Unit Price]]</f>
        <v>0</v>
      </c>
      <c r="H32" s="33"/>
      <c r="I32" s="90"/>
      <c r="J32" s="95">
        <f>SimpleInvoice[[#This Row],[Material Total]]+SimpleInvoice[[#This Row],[Labor Total]]</f>
        <v>0</v>
      </c>
      <c r="K32" s="17"/>
    </row>
    <row r="33" spans="2:12" s="18" customFormat="1" ht="30" customHeight="1" x14ac:dyDescent="0.2">
      <c r="B33" s="19" t="s">
        <v>24</v>
      </c>
      <c r="C33" s="20"/>
      <c r="D33" s="49" t="s">
        <v>17</v>
      </c>
      <c r="E33" s="15"/>
      <c r="F33" s="16"/>
      <c r="G33" s="40">
        <f>SimpleInvoice[[#This Row],[Material Qty]]*SimpleInvoice[[#This Row],[Material Unit Price]]</f>
        <v>0</v>
      </c>
      <c r="H33" s="12"/>
      <c r="I33" s="102"/>
      <c r="J33" s="95">
        <f>SimpleInvoice[[#This Row],[Material Total]]+SimpleInvoice[[#This Row],[Labor Total]]</f>
        <v>0</v>
      </c>
      <c r="K33" s="17"/>
    </row>
    <row r="34" spans="2:12" s="18" customFormat="1" ht="30" customHeight="1" x14ac:dyDescent="0.2">
      <c r="B34" s="113" t="s">
        <v>55</v>
      </c>
      <c r="C34" s="114" t="s">
        <v>21</v>
      </c>
      <c r="D34" s="48" t="s">
        <v>13</v>
      </c>
      <c r="E34" s="23"/>
      <c r="F34" s="24"/>
      <c r="G34" s="41">
        <f>SimpleInvoice[[#This Row],[Material Qty]]*SimpleInvoice[[#This Row],[Material Unit Price]]</f>
        <v>0</v>
      </c>
      <c r="H34" s="109"/>
      <c r="I34" s="110"/>
      <c r="J34" s="115">
        <f>SimpleInvoice[[#This Row],[Material Total]]+SimpleInvoice[[#This Row],[Labor Total]]</f>
        <v>0</v>
      </c>
      <c r="K34" s="17"/>
    </row>
    <row r="35" spans="2:12" s="18" customFormat="1" ht="30" customHeight="1" x14ac:dyDescent="0.2">
      <c r="B35" s="9" t="s">
        <v>25</v>
      </c>
      <c r="C35" s="6"/>
      <c r="D35" s="46"/>
      <c r="E35" s="6"/>
      <c r="F35" s="6"/>
      <c r="G35" s="57"/>
      <c r="H35" s="111"/>
      <c r="I35" s="111"/>
      <c r="J35" s="55"/>
      <c r="K35" s="17"/>
    </row>
    <row r="36" spans="2:12" s="18" customFormat="1" ht="30" customHeight="1" x14ac:dyDescent="0.2">
      <c r="B36" s="19" t="s">
        <v>26</v>
      </c>
      <c r="C36" s="20" t="s">
        <v>27</v>
      </c>
      <c r="D36" s="49" t="s">
        <v>17</v>
      </c>
      <c r="E36" s="15"/>
      <c r="F36" s="16"/>
      <c r="G36" s="40">
        <f>SimpleInvoice[[#This Row],[Material Qty]]*SimpleInvoice[[#This Row],[Material Unit Price]]</f>
        <v>0</v>
      </c>
      <c r="H36" s="33"/>
      <c r="I36" s="90"/>
      <c r="J36" s="95">
        <f>SimpleInvoice[[#This Row],[Material Total]]+SimpleInvoice[[#This Row],[Labor Total]]</f>
        <v>0</v>
      </c>
      <c r="K36" s="17"/>
    </row>
    <row r="37" spans="2:12" s="18" customFormat="1" ht="30" customHeight="1" x14ac:dyDescent="0.2">
      <c r="B37" s="9" t="s">
        <v>28</v>
      </c>
      <c r="C37" s="6"/>
      <c r="D37" s="46"/>
      <c r="E37" s="6"/>
      <c r="F37" s="6"/>
      <c r="G37" s="57"/>
      <c r="H37" s="101"/>
      <c r="I37" s="101"/>
      <c r="J37" s="55"/>
      <c r="K37" s="17"/>
    </row>
    <row r="38" spans="2:12" ht="30" customHeight="1" x14ac:dyDescent="0.2">
      <c r="B38" s="10" t="s">
        <v>69</v>
      </c>
      <c r="C38" s="20"/>
      <c r="D38" s="48" t="s">
        <v>15</v>
      </c>
      <c r="E38" s="34"/>
      <c r="F38" s="13"/>
      <c r="G38" s="40">
        <f>SimpleInvoice[[#This Row],[Material Qty]]*SimpleInvoice[[#This Row],[Material Unit Price]]</f>
        <v>0</v>
      </c>
      <c r="H38" s="33"/>
      <c r="I38" s="90"/>
      <c r="J38" s="95">
        <f>SimpleInvoice[[#This Row],[Material Total]]+SimpleInvoice[[#This Row],[Labor Total]]</f>
        <v>0</v>
      </c>
      <c r="K38" s="3"/>
      <c r="L38" s="2"/>
    </row>
    <row r="39" spans="2:12" ht="30" customHeight="1" x14ac:dyDescent="0.2">
      <c r="B39" s="10" t="s">
        <v>70</v>
      </c>
      <c r="C39" s="20"/>
      <c r="D39" s="48" t="s">
        <v>15</v>
      </c>
      <c r="E39" s="34"/>
      <c r="F39" s="13"/>
      <c r="G39" s="40">
        <f>SimpleInvoice[[#This Row],[Material Qty]]*SimpleInvoice[[#This Row],[Material Unit Price]]</f>
        <v>0</v>
      </c>
      <c r="H39" s="33"/>
      <c r="I39" s="90"/>
      <c r="J39" s="95">
        <f>SimpleInvoice[[#This Row],[Material Total]]+SimpleInvoice[[#This Row],[Labor Total]]</f>
        <v>0</v>
      </c>
      <c r="K39" s="3"/>
      <c r="L39" s="2"/>
    </row>
    <row r="40" spans="2:12" ht="30" customHeight="1" x14ac:dyDescent="0.2">
      <c r="B40" s="10" t="s">
        <v>71</v>
      </c>
      <c r="C40" s="20"/>
      <c r="D40" s="48" t="s">
        <v>15</v>
      </c>
      <c r="E40" s="34"/>
      <c r="F40" s="13"/>
      <c r="G40" s="40">
        <f>SimpleInvoice[[#This Row],[Material Qty]]*SimpleInvoice[[#This Row],[Material Unit Price]]</f>
        <v>0</v>
      </c>
      <c r="H40" s="33"/>
      <c r="I40" s="90"/>
      <c r="J40" s="95">
        <f>SimpleInvoice[[#This Row],[Material Total]]+SimpleInvoice[[#This Row],[Labor Total]]</f>
        <v>0</v>
      </c>
      <c r="K40" s="3"/>
      <c r="L40" s="2"/>
    </row>
    <row r="41" spans="2:12" ht="30" customHeight="1" x14ac:dyDescent="0.2">
      <c r="B41" s="10" t="s">
        <v>72</v>
      </c>
      <c r="C41" s="20"/>
      <c r="D41" s="48" t="s">
        <v>15</v>
      </c>
      <c r="E41" s="124"/>
      <c r="F41" s="125"/>
      <c r="G41" s="41">
        <f>SimpleInvoice[[#This Row],[Material Qty]]*SimpleInvoice[[#This Row],[Material Unit Price]]</f>
        <v>0</v>
      </c>
      <c r="H41" s="33"/>
      <c r="I41" s="90"/>
      <c r="J41" s="95">
        <f>SimpleInvoice[[#This Row],[Material Total]]+SimpleInvoice[[#This Row],[Labor Total]]</f>
        <v>0</v>
      </c>
      <c r="K41" s="3"/>
      <c r="L41" s="2"/>
    </row>
    <row r="42" spans="2:12" ht="30" customHeight="1" x14ac:dyDescent="0.2">
      <c r="B42" s="10" t="s">
        <v>73</v>
      </c>
      <c r="C42" s="20"/>
      <c r="D42" s="123" t="s">
        <v>17</v>
      </c>
      <c r="E42" s="12"/>
      <c r="F42" s="33"/>
      <c r="G42" s="33">
        <f>SimpleInvoice[[#This Row],[Material Qty]]*SimpleInvoice[[#This Row],[Material Unit Price]]</f>
        <v>0</v>
      </c>
      <c r="H42" s="127"/>
      <c r="I42" s="90"/>
      <c r="J42" s="95">
        <f>SimpleInvoice[[#This Row],[Material Total]]+SimpleInvoice[[#This Row],[Labor Total]]</f>
        <v>0</v>
      </c>
      <c r="K42" s="3"/>
      <c r="L42" s="2"/>
    </row>
    <row r="43" spans="2:12" ht="30" customHeight="1" x14ac:dyDescent="0.2">
      <c r="B43" s="10" t="s">
        <v>74</v>
      </c>
      <c r="C43" s="20"/>
      <c r="D43" s="123" t="s">
        <v>17</v>
      </c>
      <c r="E43" s="12"/>
      <c r="F43" s="33"/>
      <c r="G43" s="33">
        <f>SimpleInvoice[[#This Row],[Material Qty]]*SimpleInvoice[[#This Row],[Material Unit Price]]</f>
        <v>0</v>
      </c>
      <c r="H43" s="127"/>
      <c r="I43" s="90"/>
      <c r="J43" s="95">
        <f>SimpleInvoice[[#This Row],[Material Total]]+SimpleInvoice[[#This Row],[Labor Total]]</f>
        <v>0</v>
      </c>
      <c r="K43" s="3"/>
      <c r="L43" s="2"/>
    </row>
    <row r="44" spans="2:12" ht="30" customHeight="1" x14ac:dyDescent="0.2">
      <c r="B44" s="14" t="s">
        <v>75</v>
      </c>
      <c r="C44" s="20"/>
      <c r="D44" s="123" t="s">
        <v>17</v>
      </c>
      <c r="E44" s="12"/>
      <c r="F44" s="33"/>
      <c r="G44" s="33">
        <f>SimpleInvoice[[#This Row],[Material Qty]]*SimpleInvoice[[#This Row],[Material Unit Price]]</f>
        <v>0</v>
      </c>
      <c r="H44" s="127"/>
      <c r="I44" s="90"/>
      <c r="J44" s="95">
        <f>SimpleInvoice[[#This Row],[Material Total]]+SimpleInvoice[[#This Row],[Labor Total]]</f>
        <v>0</v>
      </c>
      <c r="K44" s="3"/>
      <c r="L44" s="2"/>
    </row>
    <row r="45" spans="2:12" ht="30" customHeight="1" x14ac:dyDescent="0.2">
      <c r="B45" s="14" t="s">
        <v>76</v>
      </c>
      <c r="C45" s="20" t="s">
        <v>21</v>
      </c>
      <c r="D45" s="123" t="s">
        <v>13</v>
      </c>
      <c r="E45" s="12"/>
      <c r="F45" s="33"/>
      <c r="G45" s="33">
        <f>SimpleInvoice[[#This Row],[Material Qty]]*SimpleInvoice[[#This Row],[Material Unit Price]]</f>
        <v>0</v>
      </c>
      <c r="H45" s="127"/>
      <c r="I45" s="90"/>
      <c r="J45" s="95">
        <f>SimpleInvoice[[#This Row],[Material Total]]+SimpleInvoice[[#This Row],[Labor Total]]</f>
        <v>0</v>
      </c>
      <c r="K45" s="3"/>
      <c r="L45" s="2"/>
    </row>
    <row r="46" spans="2:12" ht="30" customHeight="1" x14ac:dyDescent="0.2">
      <c r="B46" s="21" t="s">
        <v>29</v>
      </c>
      <c r="C46" s="22" t="s">
        <v>0</v>
      </c>
      <c r="D46" s="123" t="s">
        <v>17</v>
      </c>
      <c r="E46" s="12"/>
      <c r="F46" s="33"/>
      <c r="G46" s="33">
        <f>SimpleInvoice[[#This Row],[Material Qty]]*SimpleInvoice[[#This Row],[Material Unit Price]]</f>
        <v>0</v>
      </c>
      <c r="H46" s="127"/>
      <c r="I46" s="90"/>
      <c r="J46" s="95">
        <f>SimpleInvoice[[#This Row],[Material Total]]+SimpleInvoice[[#This Row],[Labor Total]]</f>
        <v>0</v>
      </c>
      <c r="K46" s="3"/>
      <c r="L46" s="2"/>
    </row>
    <row r="47" spans="2:12" ht="30" customHeight="1" x14ac:dyDescent="0.2">
      <c r="B47" s="21" t="s">
        <v>38</v>
      </c>
      <c r="C47" s="22" t="s">
        <v>0</v>
      </c>
      <c r="D47" s="123" t="s">
        <v>17</v>
      </c>
      <c r="E47" s="12"/>
      <c r="F47" s="33"/>
      <c r="G47" s="33">
        <f>SimpleInvoice[[#This Row],[Material Qty]]*SimpleInvoice[[#This Row],[Material Unit Price]]</f>
        <v>0</v>
      </c>
      <c r="H47" s="127"/>
      <c r="I47" s="90"/>
      <c r="J47" s="95">
        <f>SimpleInvoice[[#This Row],[Material Total]]+SimpleInvoice[[#This Row],[Labor Total]]</f>
        <v>0</v>
      </c>
      <c r="K47" s="3"/>
      <c r="L47" s="2"/>
    </row>
    <row r="48" spans="2:12" ht="30" customHeight="1" x14ac:dyDescent="0.2">
      <c r="B48" s="14" t="s">
        <v>67</v>
      </c>
      <c r="C48" s="11"/>
      <c r="D48" s="123" t="s">
        <v>13</v>
      </c>
      <c r="E48" s="12"/>
      <c r="F48" s="33"/>
      <c r="G48" s="33">
        <f>SimpleInvoice[[#This Row],[Material Qty]]*SimpleInvoice[[#This Row],[Material Unit Price]]</f>
        <v>0</v>
      </c>
      <c r="H48" s="128"/>
      <c r="I48" s="90"/>
      <c r="J48" s="116">
        <f>SimpleInvoice[[#This Row],[Material Total]]+SimpleInvoice[[#This Row],[Labor Total]]</f>
        <v>0</v>
      </c>
      <c r="K48" s="3"/>
      <c r="L48" s="2"/>
    </row>
    <row r="49" spans="2:12" ht="30" customHeight="1" x14ac:dyDescent="0.2">
      <c r="B49" s="9" t="s">
        <v>30</v>
      </c>
      <c r="C49" s="6"/>
      <c r="D49" s="46"/>
      <c r="E49" s="6"/>
      <c r="F49" s="6"/>
      <c r="G49" s="57"/>
      <c r="H49" s="101"/>
      <c r="I49" s="101"/>
      <c r="J49" s="55"/>
      <c r="K49" s="3"/>
      <c r="L49" s="2"/>
    </row>
    <row r="50" spans="2:12" ht="30" customHeight="1" x14ac:dyDescent="0.2">
      <c r="B50" s="19" t="s">
        <v>39</v>
      </c>
      <c r="C50" s="20" t="s">
        <v>0</v>
      </c>
      <c r="D50" s="49" t="s">
        <v>17</v>
      </c>
      <c r="E50" s="15"/>
      <c r="F50" s="16"/>
      <c r="G50" s="40">
        <f>SimpleInvoice[[#This Row],[Material Qty]]*SimpleInvoice[[#This Row],[Material Unit Price]]</f>
        <v>0</v>
      </c>
      <c r="H50" s="33"/>
      <c r="I50" s="90"/>
      <c r="J50" s="95">
        <f>SimpleInvoice[[#This Row],[Material Total]]+SimpleInvoice[[#This Row],[Labor Total]]</f>
        <v>0</v>
      </c>
      <c r="K50" s="3"/>
      <c r="L50" s="2"/>
    </row>
    <row r="51" spans="2:12" ht="30" customHeight="1" x14ac:dyDescent="0.2">
      <c r="B51" s="19" t="s">
        <v>31</v>
      </c>
      <c r="C51" s="20" t="s">
        <v>0</v>
      </c>
      <c r="D51" s="49" t="s">
        <v>17</v>
      </c>
      <c r="E51" s="15"/>
      <c r="F51" s="16"/>
      <c r="G51" s="40">
        <f>SimpleInvoice[[#This Row],[Material Qty]]*SimpleInvoice[[#This Row],[Material Unit Price]]</f>
        <v>0</v>
      </c>
      <c r="H51" s="33"/>
      <c r="I51" s="90"/>
      <c r="J51" s="95">
        <f>SimpleInvoice[[#This Row],[Material Total]]+SimpleInvoice[[#This Row],[Labor Total]]</f>
        <v>0</v>
      </c>
      <c r="K51" s="3"/>
      <c r="L51" s="2"/>
    </row>
    <row r="52" spans="2:12" ht="30" customHeight="1" x14ac:dyDescent="0.2">
      <c r="B52" s="19" t="s">
        <v>32</v>
      </c>
      <c r="C52" s="20" t="s">
        <v>0</v>
      </c>
      <c r="D52" s="49" t="s">
        <v>17</v>
      </c>
      <c r="E52" s="15"/>
      <c r="F52" s="16"/>
      <c r="G52" s="40">
        <f>SimpleInvoice[[#This Row],[Material Qty]]*SimpleInvoice[[#This Row],[Material Unit Price]]</f>
        <v>0</v>
      </c>
      <c r="H52" s="33"/>
      <c r="I52" s="90"/>
      <c r="J52" s="95">
        <f>SimpleInvoice[[#This Row],[Material Total]]+SimpleInvoice[[#This Row],[Labor Total]]</f>
        <v>0</v>
      </c>
      <c r="K52" s="3"/>
      <c r="L52" s="2"/>
    </row>
    <row r="53" spans="2:12" ht="30" customHeight="1" x14ac:dyDescent="0.2">
      <c r="B53" s="19" t="s">
        <v>54</v>
      </c>
      <c r="C53" s="20" t="s">
        <v>0</v>
      </c>
      <c r="D53" s="49" t="s">
        <v>17</v>
      </c>
      <c r="E53" s="23"/>
      <c r="F53" s="24"/>
      <c r="G53" s="40">
        <f>SimpleInvoice[[#This Row],[Material Qty]]*SimpleInvoice[[#This Row],[Material Unit Price]]</f>
        <v>0</v>
      </c>
      <c r="H53" s="33"/>
      <c r="I53" s="90"/>
      <c r="J53" s="95">
        <f>SimpleInvoice[[#This Row],[Material Total]]+SimpleInvoice[[#This Row],[Labor Total]]</f>
        <v>0</v>
      </c>
      <c r="K53" s="3"/>
      <c r="L53" s="2"/>
    </row>
    <row r="54" spans="2:12" ht="30" customHeight="1" x14ac:dyDescent="0.2">
      <c r="B54" s="21" t="s">
        <v>20</v>
      </c>
      <c r="C54" s="20" t="s">
        <v>21</v>
      </c>
      <c r="D54" s="60" t="s">
        <v>13</v>
      </c>
      <c r="E54" s="12"/>
      <c r="F54" s="33"/>
      <c r="G54" s="129"/>
      <c r="H54" s="96"/>
      <c r="I54" s="120"/>
      <c r="J54" s="121">
        <f>SimpleInvoice[[#This Row],[Material Total]]+SimpleInvoice[[#This Row],[Labor Total]]</f>
        <v>0</v>
      </c>
      <c r="K54" s="3"/>
      <c r="L54" s="2"/>
    </row>
    <row r="55" spans="2:12" s="18" customFormat="1" ht="30" customHeight="1" thickBot="1" x14ac:dyDescent="0.25">
      <c r="B55" s="10" t="s">
        <v>68</v>
      </c>
      <c r="C55" s="11"/>
      <c r="D55" s="130" t="s">
        <v>13</v>
      </c>
      <c r="E55" s="126"/>
      <c r="F55" s="109"/>
      <c r="G55" s="129"/>
      <c r="H55" s="33"/>
      <c r="I55" s="97"/>
      <c r="J55" s="119">
        <f>SimpleInvoice[[#This Row],[Material Total]]+SimpleInvoice[[#This Row],[Labor Total]]</f>
        <v>0</v>
      </c>
      <c r="K55" s="17"/>
    </row>
    <row r="56" spans="2:12" ht="30" customHeight="1" x14ac:dyDescent="0.2">
      <c r="B56" s="25"/>
      <c r="C56" s="66" t="s">
        <v>41</v>
      </c>
      <c r="D56" s="67"/>
      <c r="E56" s="68"/>
      <c r="F56" s="69" t="s">
        <v>0</v>
      </c>
      <c r="G56" s="131"/>
      <c r="H56" s="70"/>
      <c r="I56" s="72"/>
      <c r="J56" s="71">
        <f>SUM(J10:J11,J13:J22)</f>
        <v>0</v>
      </c>
      <c r="K56" s="3"/>
      <c r="L56" s="2"/>
    </row>
    <row r="57" spans="2:12" ht="30" customHeight="1" x14ac:dyDescent="0.2">
      <c r="B57" s="26"/>
      <c r="C57" s="61" t="s">
        <v>42</v>
      </c>
      <c r="D57" s="62"/>
      <c r="E57" s="63"/>
      <c r="F57" s="64"/>
      <c r="G57" s="58"/>
      <c r="H57" s="43"/>
      <c r="I57" s="73"/>
      <c r="J57" s="65">
        <f>SUM(J24:J26)</f>
        <v>0</v>
      </c>
      <c r="K57" s="3"/>
      <c r="L57" s="2"/>
    </row>
    <row r="58" spans="2:12" ht="30" customHeight="1" x14ac:dyDescent="0.2">
      <c r="B58" s="26"/>
      <c r="C58" s="30" t="s">
        <v>43</v>
      </c>
      <c r="D58" s="50"/>
      <c r="E58" s="35"/>
      <c r="F58" s="31" t="s">
        <v>0</v>
      </c>
      <c r="G58" s="59"/>
      <c r="H58" s="42"/>
      <c r="I58" s="72"/>
      <c r="J58" s="71">
        <f>SUM(J30:J34)</f>
        <v>0</v>
      </c>
      <c r="K58" s="3"/>
      <c r="L58" s="2"/>
    </row>
    <row r="59" spans="2:12" ht="30" customHeight="1" x14ac:dyDescent="0.2">
      <c r="B59" s="26"/>
      <c r="C59" s="27" t="s">
        <v>53</v>
      </c>
      <c r="D59" s="51"/>
      <c r="E59" s="36"/>
      <c r="F59" s="15" t="s">
        <v>0</v>
      </c>
      <c r="G59" s="60"/>
      <c r="H59" s="43"/>
      <c r="I59" s="73"/>
      <c r="J59" s="65">
        <f>J36</f>
        <v>0</v>
      </c>
      <c r="K59" s="3"/>
      <c r="L59" s="2"/>
    </row>
    <row r="60" spans="2:12" ht="30" customHeight="1" x14ac:dyDescent="0.2">
      <c r="B60" s="26"/>
      <c r="C60" s="32" t="s">
        <v>33</v>
      </c>
      <c r="D60" s="50"/>
      <c r="E60" s="35"/>
      <c r="F60" s="31" t="s">
        <v>0</v>
      </c>
      <c r="G60" s="59"/>
      <c r="H60" s="42"/>
      <c r="I60" s="72"/>
      <c r="J60" s="71">
        <f>SUM(J56:J59)</f>
        <v>0</v>
      </c>
      <c r="K60" s="3"/>
      <c r="L60" s="2"/>
    </row>
    <row r="61" spans="2:12" ht="30" customHeight="1" x14ac:dyDescent="0.2">
      <c r="B61" s="26"/>
      <c r="C61" s="28" t="s">
        <v>34</v>
      </c>
      <c r="D61" s="51"/>
      <c r="E61" s="36"/>
      <c r="F61" s="15" t="s">
        <v>0</v>
      </c>
      <c r="G61" s="60"/>
      <c r="H61" s="43"/>
      <c r="I61" s="73"/>
      <c r="J61" s="65">
        <f>SUM(J38:J48,J50:J55)</f>
        <v>0</v>
      </c>
      <c r="K61" s="3"/>
      <c r="L61" s="2"/>
    </row>
    <row r="62" spans="2:12" ht="18.600000000000001" customHeight="1" thickBot="1" x14ac:dyDescent="0.25">
      <c r="B62" s="77"/>
      <c r="C62" s="79"/>
      <c r="D62" s="80"/>
      <c r="E62" s="81"/>
      <c r="F62" s="81"/>
      <c r="G62" s="80"/>
      <c r="H62" s="81"/>
      <c r="I62" s="81"/>
      <c r="J62" s="82"/>
      <c r="L62" s="2"/>
    </row>
    <row r="63" spans="2:12" ht="25.5" customHeight="1" thickBot="1" x14ac:dyDescent="0.25">
      <c r="B63" s="78"/>
      <c r="C63" s="83" t="s">
        <v>40</v>
      </c>
      <c r="D63" s="84"/>
      <c r="E63" s="84"/>
      <c r="F63" s="84"/>
      <c r="G63" s="85"/>
      <c r="H63" s="84"/>
      <c r="I63" s="84"/>
      <c r="J63" s="86">
        <f>SUM(J60:J61)</f>
        <v>0</v>
      </c>
      <c r="K63" s="29"/>
      <c r="L63" s="2"/>
    </row>
    <row r="64" spans="2:12" ht="46.9" customHeight="1" thickBot="1" x14ac:dyDescent="0.25">
      <c r="B64" s="163" t="s">
        <v>62</v>
      </c>
      <c r="C64" s="164"/>
      <c r="D64" s="164"/>
      <c r="E64" s="164"/>
      <c r="F64" s="164"/>
      <c r="G64" s="164"/>
      <c r="H64" s="164"/>
      <c r="I64" s="164"/>
      <c r="J64" s="165"/>
      <c r="L64" s="2"/>
    </row>
    <row r="65" spans="2:12" ht="46.9" customHeight="1" x14ac:dyDescent="0.2">
      <c r="B65" s="163" t="s">
        <v>61</v>
      </c>
      <c r="C65" s="169"/>
      <c r="D65" s="169"/>
      <c r="E65" s="169"/>
      <c r="F65" s="169"/>
      <c r="G65" s="169"/>
      <c r="H65" s="169"/>
      <c r="I65" s="169"/>
      <c r="J65" s="170"/>
      <c r="L65" s="2"/>
    </row>
    <row r="66" spans="2:12" ht="25.9" customHeight="1" x14ac:dyDescent="0.2">
      <c r="B66" s="166" t="s">
        <v>59</v>
      </c>
      <c r="C66" s="167"/>
      <c r="D66" s="167"/>
      <c r="E66" s="167"/>
      <c r="F66" s="167"/>
      <c r="G66" s="167"/>
      <c r="H66" s="167"/>
      <c r="I66" s="167"/>
      <c r="J66" s="168"/>
    </row>
    <row r="67" spans="2:12" ht="25.9" customHeight="1" x14ac:dyDescent="0.2">
      <c r="B67" s="166" t="s">
        <v>60</v>
      </c>
      <c r="C67" s="167"/>
      <c r="D67" s="167"/>
      <c r="E67" s="167"/>
      <c r="F67" s="167"/>
      <c r="G67" s="167"/>
      <c r="H67" s="167"/>
      <c r="I67" s="167"/>
      <c r="J67" s="168"/>
    </row>
    <row r="68" spans="2:12" ht="33.950000000000003" customHeight="1" x14ac:dyDescent="0.2">
      <c r="B68" s="108"/>
    </row>
  </sheetData>
  <sheetProtection formatCells="0" formatColumns="0" formatRows="0" selectLockedCells="1" sort="0"/>
  <mergeCells count="15">
    <mergeCell ref="C7:J7"/>
    <mergeCell ref="B64:J64"/>
    <mergeCell ref="B66:J66"/>
    <mergeCell ref="B67:J67"/>
    <mergeCell ref="B65:J65"/>
    <mergeCell ref="B2:J2"/>
    <mergeCell ref="H5:J5"/>
    <mergeCell ref="H4:J4"/>
    <mergeCell ref="H3:J3"/>
    <mergeCell ref="E5:G5"/>
    <mergeCell ref="E4:G4"/>
    <mergeCell ref="E3:G3"/>
    <mergeCell ref="C4:D4"/>
    <mergeCell ref="C3:D3"/>
    <mergeCell ref="C5:D5"/>
  </mergeCells>
  <phoneticPr fontId="1" type="noConversion"/>
  <dataValidations xWindow="760" yWindow="637" count="10">
    <dataValidation allowBlank="1" showErrorMessage="1" prompt="Enter Unit Price in this column under this heading" sqref="F8:J11" xr:uid="{00000000-0002-0000-0000-000008000000}"/>
    <dataValidation allowBlank="1" showErrorMessage="1" prompt="Enter Quantity in this column under this heading" sqref="D8:E11" xr:uid="{00000000-0002-0000-0000-000009000000}"/>
    <dataValidation allowBlank="1" showErrorMessage="1" prompt="Enter Item number in this column under this heading" sqref="B8" xr:uid="{00000000-0002-0000-0000-00000B000000}"/>
    <dataValidation allowBlank="1" showErrorMessage="1" prompt="Enter company City, State, &amp; Zip Code in this cell" sqref="C5:C6" xr:uid="{00000000-0002-0000-0000-000016000000}"/>
    <dataValidation allowBlank="1" showInputMessage="1" showErrorMessage="1" prompt="Create a Simple Invoice in this worksheet" sqref="A2:A4" xr:uid="{00000000-0002-0000-0000-000018000000}"/>
    <dataValidation allowBlank="1" showErrorMessage="1" prompt="Enter company Street Address in this cell" sqref="C4" xr:uid="{00000000-0002-0000-0000-000019000000}"/>
    <dataValidation allowBlank="1" showErrorMessage="1" sqref="C5:C6 H5:H6 B4" xr:uid="{617F1781-BD81-400A-9483-296E23968BF4}"/>
    <dataValidation allowBlank="1" showErrorMessage="1" prompt="Enter Description in this column under this heading" sqref="C8:C11" xr:uid="{00000000-0002-0000-0000-00000A000000}"/>
    <dataValidation allowBlank="1" showErrorMessage="1" prompt="Enter Invoice Date in the cell at right" sqref="B3 C4" xr:uid="{F323D61C-E2CC-4ECF-8368-364D6C998CCB}"/>
    <dataValidation allowBlank="1" showErrorMessage="1" prompt="Modify Company Name in this cell. Enter company address, phone, fax,  email &amp; website in cells B2 to G3. Enter Billing details in cells B4 to G7" sqref="E3:E4" xr:uid="{00000000-0002-0000-0000-000017000000}"/>
  </dataValidations>
  <printOptions horizontalCentered="1"/>
  <pageMargins left="0.7" right="0.7" top="1" bottom="1" header="0.3" footer="0.3"/>
  <pageSetup scale="44" fitToHeight="0" orientation="portrait" horizontalDpi="300" verticalDpi="3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3042-A90C-4B8E-B4D6-2E2BEE348B33}">
  <dimension ref="A1:I23"/>
  <sheetViews>
    <sheetView workbookViewId="0">
      <selection activeCell="G8" sqref="G8"/>
    </sheetView>
  </sheetViews>
  <sheetFormatPr defaultRowHeight="14.25" x14ac:dyDescent="0.2"/>
  <cols>
    <col min="1" max="1" width="17.375" customWidth="1"/>
    <col min="2" max="2" width="26.75" style="133" customWidth="1"/>
    <col min="3" max="3" width="14" style="132" customWidth="1"/>
    <col min="4" max="5" width="14" style="133" customWidth="1"/>
  </cols>
  <sheetData>
    <row r="1" spans="1:9" x14ac:dyDescent="0.2">
      <c r="A1" s="134" t="s">
        <v>100</v>
      </c>
      <c r="B1" s="135"/>
      <c r="C1" s="136"/>
      <c r="D1" s="135"/>
      <c r="E1" s="135"/>
      <c r="F1" s="137"/>
      <c r="G1" s="137"/>
      <c r="H1" s="137"/>
      <c r="I1" s="137"/>
    </row>
    <row r="2" spans="1:9" x14ac:dyDescent="0.2">
      <c r="A2" s="137"/>
      <c r="B2" s="135"/>
      <c r="C2" s="136"/>
      <c r="D2" s="135"/>
      <c r="E2" s="135"/>
      <c r="F2" s="137"/>
      <c r="G2" s="137"/>
      <c r="H2" s="137"/>
      <c r="I2" s="137"/>
    </row>
    <row r="3" spans="1:9" ht="15" x14ac:dyDescent="0.2">
      <c r="A3" s="138" t="s">
        <v>85</v>
      </c>
      <c r="B3" s="138" t="s">
        <v>84</v>
      </c>
      <c r="C3" s="138" t="s">
        <v>79</v>
      </c>
      <c r="D3" s="138" t="s">
        <v>80</v>
      </c>
      <c r="E3" s="138" t="s">
        <v>81</v>
      </c>
      <c r="F3" s="139"/>
      <c r="G3" s="137"/>
      <c r="H3" s="137"/>
      <c r="I3" s="137"/>
    </row>
    <row r="4" spans="1:9" ht="30" x14ac:dyDescent="0.2">
      <c r="A4" s="171" t="s">
        <v>86</v>
      </c>
      <c r="B4" s="141" t="s">
        <v>88</v>
      </c>
      <c r="C4" s="140" t="s">
        <v>82</v>
      </c>
      <c r="D4" s="140" t="s">
        <v>82</v>
      </c>
      <c r="E4" s="140" t="s">
        <v>82</v>
      </c>
      <c r="F4" s="139"/>
      <c r="G4" s="137"/>
      <c r="H4" s="137"/>
      <c r="I4" s="137"/>
    </row>
    <row r="5" spans="1:9" ht="30" x14ac:dyDescent="0.2">
      <c r="A5" s="171"/>
      <c r="B5" s="141" t="s">
        <v>89</v>
      </c>
      <c r="C5" s="140" t="s">
        <v>82</v>
      </c>
      <c r="D5" s="140" t="s">
        <v>82</v>
      </c>
      <c r="E5" s="140" t="s">
        <v>82</v>
      </c>
      <c r="F5" s="139"/>
      <c r="G5" s="137"/>
      <c r="H5" s="137"/>
      <c r="I5" s="137"/>
    </row>
    <row r="6" spans="1:9" ht="30" x14ac:dyDescent="0.2">
      <c r="A6" s="171" t="s">
        <v>87</v>
      </c>
      <c r="B6" s="141" t="s">
        <v>88</v>
      </c>
      <c r="C6" s="140" t="s">
        <v>93</v>
      </c>
      <c r="D6" s="140" t="s">
        <v>82</v>
      </c>
      <c r="E6" s="140" t="s">
        <v>82</v>
      </c>
      <c r="F6" s="139"/>
      <c r="G6" s="137"/>
      <c r="H6" s="137"/>
      <c r="I6" s="137"/>
    </row>
    <row r="7" spans="1:9" ht="15" x14ac:dyDescent="0.2">
      <c r="A7" s="171"/>
      <c r="B7" s="141" t="s">
        <v>90</v>
      </c>
      <c r="C7" s="140" t="s">
        <v>93</v>
      </c>
      <c r="D7" s="140" t="s">
        <v>82</v>
      </c>
      <c r="E7" s="140" t="s">
        <v>82</v>
      </c>
      <c r="F7" s="139"/>
      <c r="G7" s="137"/>
      <c r="H7" s="137"/>
      <c r="I7" s="137"/>
    </row>
    <row r="8" spans="1:9" ht="15" x14ac:dyDescent="0.2">
      <c r="A8" s="171"/>
      <c r="B8" s="141" t="s">
        <v>91</v>
      </c>
      <c r="C8" s="140" t="s">
        <v>83</v>
      </c>
      <c r="D8" s="140" t="s">
        <v>82</v>
      </c>
      <c r="E8" s="140" t="s">
        <v>82</v>
      </c>
      <c r="F8" s="139"/>
      <c r="G8" s="137"/>
      <c r="H8" s="137"/>
      <c r="I8" s="137"/>
    </row>
    <row r="9" spans="1:9" ht="30" x14ac:dyDescent="0.2">
      <c r="A9" s="171"/>
      <c r="B9" s="141" t="s">
        <v>92</v>
      </c>
      <c r="C9" s="140" t="s">
        <v>83</v>
      </c>
      <c r="D9" s="140" t="s">
        <v>83</v>
      </c>
      <c r="E9" s="140" t="s">
        <v>83</v>
      </c>
      <c r="F9" s="139"/>
      <c r="G9" s="137"/>
      <c r="H9" s="137"/>
      <c r="I9" s="137"/>
    </row>
    <row r="10" spans="1:9" ht="15" x14ac:dyDescent="0.2">
      <c r="A10" s="171"/>
      <c r="B10" s="141" t="s">
        <v>94</v>
      </c>
      <c r="C10" s="140" t="s">
        <v>83</v>
      </c>
      <c r="D10" s="140" t="s">
        <v>83</v>
      </c>
      <c r="E10" s="140" t="s">
        <v>83</v>
      </c>
      <c r="F10" s="139"/>
      <c r="G10" s="137"/>
      <c r="H10" s="137"/>
      <c r="I10" s="137"/>
    </row>
    <row r="11" spans="1:9" ht="15" x14ac:dyDescent="0.2">
      <c r="A11" s="171"/>
      <c r="B11" s="141" t="s">
        <v>95</v>
      </c>
      <c r="C11" s="140" t="s">
        <v>82</v>
      </c>
      <c r="D11" s="140" t="s">
        <v>82</v>
      </c>
      <c r="E11" s="140" t="s">
        <v>82</v>
      </c>
      <c r="F11" s="139"/>
      <c r="G11" s="137"/>
      <c r="H11" s="137"/>
      <c r="I11" s="137"/>
    </row>
    <row r="12" spans="1:9" ht="15" x14ac:dyDescent="0.2">
      <c r="A12" s="171"/>
      <c r="B12" s="141" t="s">
        <v>101</v>
      </c>
      <c r="C12" s="140" t="s">
        <v>82</v>
      </c>
      <c r="D12" s="140" t="s">
        <v>82</v>
      </c>
      <c r="E12" s="140" t="s">
        <v>82</v>
      </c>
      <c r="F12" s="139"/>
      <c r="G12" s="137"/>
      <c r="H12" s="137"/>
      <c r="I12" s="137"/>
    </row>
    <row r="13" spans="1:9" ht="15" x14ac:dyDescent="0.2">
      <c r="A13" s="171"/>
      <c r="B13" s="141" t="s">
        <v>102</v>
      </c>
      <c r="C13" s="140" t="s">
        <v>82</v>
      </c>
      <c r="D13" s="140" t="s">
        <v>82</v>
      </c>
      <c r="E13" s="140" t="s">
        <v>82</v>
      </c>
      <c r="F13" s="139"/>
      <c r="G13" s="137"/>
      <c r="H13" s="137"/>
      <c r="I13" s="137"/>
    </row>
    <row r="14" spans="1:9" ht="15" x14ac:dyDescent="0.2">
      <c r="A14" s="171"/>
      <c r="B14" s="141" t="s">
        <v>96</v>
      </c>
      <c r="C14" s="140" t="s">
        <v>83</v>
      </c>
      <c r="D14" s="140" t="s">
        <v>83</v>
      </c>
      <c r="E14" s="140" t="s">
        <v>83</v>
      </c>
      <c r="F14" s="139"/>
      <c r="G14" s="137"/>
      <c r="H14" s="137"/>
      <c r="I14" s="137"/>
    </row>
    <row r="15" spans="1:9" ht="15" x14ac:dyDescent="0.2">
      <c r="A15" s="171"/>
      <c r="B15" s="141" t="s">
        <v>97</v>
      </c>
      <c r="C15" s="140" t="s">
        <v>82</v>
      </c>
      <c r="D15" s="140" t="s">
        <v>82</v>
      </c>
      <c r="E15" s="140" t="s">
        <v>82</v>
      </c>
      <c r="F15" s="139"/>
      <c r="G15" s="137"/>
      <c r="H15" s="137"/>
      <c r="I15" s="137"/>
    </row>
    <row r="16" spans="1:9" ht="15" x14ac:dyDescent="0.2">
      <c r="A16" s="171"/>
      <c r="B16" s="141" t="s">
        <v>98</v>
      </c>
      <c r="C16" s="140" t="s">
        <v>83</v>
      </c>
      <c r="D16" s="140" t="s">
        <v>83</v>
      </c>
      <c r="E16" s="140" t="s">
        <v>83</v>
      </c>
      <c r="F16" s="139"/>
      <c r="G16" s="137"/>
      <c r="H16" s="137"/>
      <c r="I16" s="137"/>
    </row>
    <row r="17" spans="1:9" x14ac:dyDescent="0.2">
      <c r="A17" s="137"/>
      <c r="B17" s="142"/>
      <c r="C17" s="143"/>
      <c r="D17" s="142"/>
      <c r="E17" s="142"/>
      <c r="F17" s="139"/>
      <c r="G17" s="137"/>
      <c r="H17" s="137"/>
      <c r="I17" s="137"/>
    </row>
    <row r="18" spans="1:9" ht="15" x14ac:dyDescent="0.2">
      <c r="A18" s="144" t="s">
        <v>99</v>
      </c>
      <c r="B18" s="142"/>
      <c r="C18" s="143"/>
      <c r="D18" s="142"/>
      <c r="E18" s="142"/>
      <c r="F18" s="139"/>
      <c r="G18" s="137"/>
      <c r="H18" s="137"/>
      <c r="I18" s="137"/>
    </row>
    <row r="19" spans="1:9" x14ac:dyDescent="0.2">
      <c r="A19" s="137"/>
      <c r="B19" s="142"/>
      <c r="C19" s="143"/>
      <c r="D19" s="142"/>
      <c r="E19" s="142"/>
      <c r="F19" s="139"/>
      <c r="G19" s="137"/>
      <c r="H19" s="137"/>
      <c r="I19" s="137"/>
    </row>
    <row r="20" spans="1:9" x14ac:dyDescent="0.2">
      <c r="A20" s="137"/>
      <c r="B20" s="142"/>
      <c r="C20" s="143"/>
      <c r="D20" s="142"/>
      <c r="E20" s="142"/>
      <c r="F20" s="139"/>
      <c r="G20" s="137"/>
      <c r="H20" s="137"/>
      <c r="I20" s="137"/>
    </row>
    <row r="21" spans="1:9" x14ac:dyDescent="0.2">
      <c r="A21" s="137"/>
      <c r="B21" s="142"/>
      <c r="C21" s="143"/>
      <c r="D21" s="142"/>
      <c r="E21" s="142"/>
      <c r="F21" s="139"/>
      <c r="G21" s="137"/>
      <c r="H21" s="137"/>
      <c r="I21" s="137"/>
    </row>
    <row r="22" spans="1:9" x14ac:dyDescent="0.2">
      <c r="A22" s="137"/>
      <c r="B22" s="135"/>
      <c r="C22" s="136"/>
      <c r="D22" s="135"/>
      <c r="E22" s="135"/>
      <c r="F22" s="137"/>
      <c r="G22" s="137"/>
      <c r="H22" s="137"/>
      <c r="I22" s="137"/>
    </row>
    <row r="23" spans="1:9" x14ac:dyDescent="0.2">
      <c r="A23" s="137"/>
      <c r="B23" s="135"/>
      <c r="C23" s="136"/>
      <c r="D23" s="135"/>
      <c r="E23" s="135"/>
      <c r="F23" s="137"/>
      <c r="G23" s="137"/>
      <c r="H23" s="137"/>
      <c r="I23" s="137"/>
    </row>
  </sheetData>
  <mergeCells count="2">
    <mergeCell ref="A4:A5"/>
    <mergeCell ref="A6:A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A2682F3CEEE6478E645BAB89FDDCD7" ma:contentTypeVersion="15" ma:contentTypeDescription="Create a new document." ma:contentTypeScope="" ma:versionID="649dfc848936467438328351a90a595d">
  <xsd:schema xmlns:xsd="http://www.w3.org/2001/XMLSchema" xmlns:xs="http://www.w3.org/2001/XMLSchema" xmlns:p="http://schemas.microsoft.com/office/2006/metadata/properties" xmlns:ns2="31a5d8a4-b964-471a-be9a-7aa474a21c1a" xmlns:ns3="3d35c4be-f369-4127-a3af-4c6a094c1804" targetNamespace="http://schemas.microsoft.com/office/2006/metadata/properties" ma:root="true" ma:fieldsID="94d4a0b3d9455d497d99df777fd868a1" ns2:_="" ns3:_="">
    <xsd:import namespace="31a5d8a4-b964-471a-be9a-7aa474a21c1a"/>
    <xsd:import namespace="3d35c4be-f369-4127-a3af-4c6a094c180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a5d8a4-b964-471a-be9a-7aa474a21c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07ac78d-b323-4a7e-a471-22c9ed92953a"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35c4be-f369-4127-a3af-4c6a094c180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b9692db-da60-42ee-909c-fb13cc10674a}" ma:internalName="TaxCatchAll" ma:showField="CatchAllData" ma:web="3d35c4be-f369-4127-a3af-4c6a094c1804">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3d35c4be-f369-4127-a3af-4c6a094c1804">
      <UserInfo>
        <DisplayName/>
        <AccountId xsi:nil="true"/>
        <AccountType/>
      </UserInfo>
    </SharedWithUsers>
    <TaxCatchAll xmlns="3d35c4be-f369-4127-a3af-4c6a094c1804" xsi:nil="true"/>
    <lcf76f155ced4ddcb4097134ff3c332f xmlns="31a5d8a4-b964-471a-be9a-7aa474a21c1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99EF21-0487-40F3-8B63-F5D3E4DA38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a5d8a4-b964-471a-be9a-7aa474a21c1a"/>
    <ds:schemaRef ds:uri="3d35c4be-f369-4127-a3af-4c6a094c18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FFF974-73B9-4750-BCF6-A9F84E279814}">
  <ds:schemaRefs>
    <ds:schemaRef ds:uri="http://schemas.microsoft.com/office/2006/metadata/properties"/>
    <ds:schemaRef ds:uri="http://schemas.microsoft.com/office/infopath/2007/PartnerControls"/>
    <ds:schemaRef ds:uri="748b2d9f-8bc9-4365-8c41-1fcc7ecbbcfa"/>
    <ds:schemaRef ds:uri="63d31250-ea00-458f-94f6-af4a64f37f97"/>
    <ds:schemaRef ds:uri="c94ac7cc-5d14-4e9b-bc50-2b2ba43ce9ec"/>
    <ds:schemaRef ds:uri="3d35c4be-f369-4127-a3af-4c6a094c1804"/>
    <ds:schemaRef ds:uri="31a5d8a4-b964-471a-be9a-7aa474a21c1a"/>
  </ds:schemaRefs>
</ds:datastoreItem>
</file>

<file path=customXml/itemProps3.xml><?xml version="1.0" encoding="utf-8"?>
<ds:datastoreItem xmlns:ds="http://schemas.openxmlformats.org/officeDocument/2006/customXml" ds:itemID="{58D3031D-0C1A-4A05-91C7-363EC2D6B2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Estimate</vt:lpstr>
      <vt:lpstr>Utility-Side vs Customer-Side</vt:lpstr>
      <vt:lpstr>ColumnTitle1</vt:lpstr>
      <vt:lpstr>Estimate!Print_Area</vt:lpstr>
      <vt:lpstr>Estimate!Print_Titles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2021-09-09T20:09:54Z</dcterms:created>
  <dcterms:modified xsi:type="dcterms:W3CDTF">2026-04-09T16:59:57Z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0x010100807D5C33BCBFE949BFE0F6729FE835E5</vt:lpwstr>
  </property>
  <property fmtid="{D5CDD505-2E9C-101B-9397-08002B2CF9AE}" pid="3" name="xd_Signature">
    <vt:bool>false</vt:bool>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MediaServiceImageTags">
    <vt:lpwstr/>
  </property>
</Properties>
</file>