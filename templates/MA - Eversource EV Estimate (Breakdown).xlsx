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1600" yWindow="-14760" windowWidth="36975" windowHeight="18375"/>
  </bookViews>
  <sheets>
    <sheet sheetId="1" name="Estimate" state="visible" r:id="rId4"/>
    <sheet sheetId="2" name="Utility-Side vs Customer-Side" state="visible" r:id="rId5"/>
  </sheets>
  <definedNames>
    <definedName name="_xlnm.Print_Area" localSheetId="0">'Estimate'!$A2:$L64</definedName>
    <definedName name="_xlnm.Print_Titles" localSheetId="0">'Estimate'!$8:$8</definedName>
  </definedNames>
  <calcPr calcId="171027" fullCalcOnLoad="1"/>
</workbook>
</file>

<file path=xl/sharedStrings.xml><?xml version="1.0" encoding="utf-8"?>
<sst xmlns="http://schemas.openxmlformats.org/spreadsheetml/2006/main" count="197" uniqueCount="104">
  <si>
    <t>ESTIMATE</t>
  </si>
  <si>
    <t xml:space="preserve">Eversource Project #: </t>
  </si>
  <si>
    <t>Site Information / System Details</t>
  </si>
  <si>
    <t>Installer Information</t>
  </si>
  <si>
    <t>Site Host Information</t>
  </si>
  <si>
    <t>Project Site Street Address:</t>
  </si>
  <si>
    <t>Company Name:</t>
  </si>
  <si>
    <t xml:space="preserve">Name: </t>
  </si>
  <si>
    <t>Project City, State, ZIP Code:</t>
  </si>
  <si>
    <t>Desciption</t>
  </si>
  <si>
    <t>Detail/Notes</t>
  </si>
  <si>
    <t>Unit Type</t>
  </si>
  <si>
    <t>Material Qty</t>
  </si>
  <si>
    <t>Material Unit Price</t>
  </si>
  <si>
    <t>Material Total</t>
  </si>
  <si>
    <t>Labor Total</t>
  </si>
  <si>
    <t xml:space="preserve">Subcontracted
Y/N</t>
  </si>
  <si>
    <t>Total Cost</t>
  </si>
  <si>
    <t>Eligible Design and Permitting costs</t>
  </si>
  <si>
    <t>Design/Engineering</t>
  </si>
  <si>
    <t>Total</t>
  </si>
  <si>
    <t>Permitting</t>
  </si>
  <si>
    <t>Eligible Customer-Side Infrastructure Make-Ready costs - Site and Electrical Work</t>
  </si>
  <si>
    <t xml:space="preserve">Trenching &amp; Backfill - Continuously Paved Area
(i.e., asphalt, concrete)</t>
  </si>
  <si>
    <t>Feet</t>
  </si>
  <si>
    <t xml:space="preserve">Trenching &amp; Backfill - Non-Continuously Paved Area
(i.e., grass)</t>
  </si>
  <si>
    <t>Conduit &amp; Cable - Underground</t>
  </si>
  <si>
    <t>Conduit &amp; Cable - Above Ground/Indoor</t>
  </si>
  <si>
    <t>Protective Bollards</t>
  </si>
  <si>
    <t>Each</t>
  </si>
  <si>
    <t>Handholes/Manholes</t>
  </si>
  <si>
    <t>Concrete Work/Bases/Pads</t>
  </si>
  <si>
    <t>Specify:</t>
  </si>
  <si>
    <t>Distribuition Equipment (i.e., panels, service board, breakers, enclosures)</t>
  </si>
  <si>
    <t>Metering Equipment (i.e., meter socket, CT cabinet)</t>
  </si>
  <si>
    <t>Other</t>
  </si>
  <si>
    <r>
      <t xml:space="preserve">Eligible Utility-Side Infrastructure Make-Ready costs - Site and Electrical Work - </t>
    </r>
    <r>
      <rPr>
        <b/>
        <i/>
        <color theme="0"/>
        <family val="2"/>
        <sz val="14"/>
        <rFont val="Calibri"/>
      </rPr>
      <t>Only applicable if contractor is installing utility-owned primary-side equipment - Refer to Tab #2</t>
    </r>
  </si>
  <si>
    <r>
      <t xml:space="preserve">Trenching &amp; Backfill for </t>
    </r>
    <r>
      <rPr>
        <b/>
        <family val="2"/>
        <sz val="11"/>
        <rFont val="Calibri"/>
      </rPr>
      <t>Primary Conduit</t>
    </r>
    <r>
      <rPr>
        <family val="2"/>
        <sz val="11"/>
        <rFont val="Calibri"/>
      </rPr>
      <t xml:space="preserve"> - Continuously Paved Area</t>
    </r>
  </si>
  <si>
    <r>
      <t>Trenching &amp; Backfill for</t>
    </r>
    <r>
      <rPr>
        <b/>
        <family val="2"/>
        <sz val="11"/>
        <rFont val="Calibri"/>
      </rPr>
      <t xml:space="preserve"> Primary Conduit</t>
    </r>
    <r>
      <rPr>
        <family val="2"/>
        <sz val="11"/>
        <rFont val="Calibri"/>
      </rPr>
      <t xml:space="preserve"> - Non-Continuously Paved Area</t>
    </r>
  </si>
  <si>
    <t>Primary Conduit (Concrete-encased)</t>
  </si>
  <si>
    <t>Eligible EVSE Costs</t>
  </si>
  <si>
    <t>EVSE Hardware #1</t>
  </si>
  <si>
    <t xml:space="preserve">EVSE Type (L2, DCFC): 
EVSE Make/Model: </t>
  </si>
  <si>
    <t>EVSE Hardware #2</t>
  </si>
  <si>
    <t>EVSE Freight/Shipping</t>
  </si>
  <si>
    <t>EVSE Installation</t>
  </si>
  <si>
    <t>Other (i.e., cable management, power management kits, mounting kits)</t>
  </si>
  <si>
    <t>Eligible Networking Costs</t>
  </si>
  <si>
    <t>EVSE Networking (Public L2s and MUDs only)</t>
  </si>
  <si>
    <t>Networking Services Provider:</t>
  </si>
  <si>
    <t>Ineligible Infrastructure Make-Ready costs - Infrastructure Site Work</t>
  </si>
  <si>
    <t>Future Proofing - Trenching &amp; Backfill (continuously paved area, i.e., asphalt, concrete)</t>
  </si>
  <si>
    <t>Future Proofing - Trenching &amp; Backfill (non-continuously paved area, i.e., grass)</t>
  </si>
  <si>
    <t>Future Proofing - Conduit &amp; Cable (underground)</t>
  </si>
  <si>
    <t>Future Proofing - Conduit &amp; Cable (above ground/indoor)</t>
  </si>
  <si>
    <t>Future Proofing - Protective Bollards</t>
  </si>
  <si>
    <t>Future Proofing - Concrete Work/Bases/Pads</t>
  </si>
  <si>
    <t>Future Proofing - Panels/Service Board/Breakers</t>
  </si>
  <si>
    <t>Future Proofing - Other</t>
  </si>
  <si>
    <t>Parking Spot Striping/Painting</t>
  </si>
  <si>
    <t xml:space="preserve"> </t>
  </si>
  <si>
    <t>Signage</t>
  </si>
  <si>
    <t>Sales Tax - Infrastructure</t>
  </si>
  <si>
    <t>Ineligible EVSE Costs</t>
  </si>
  <si>
    <t>Maintenance/Warranty Plan</t>
  </si>
  <si>
    <t>Activation Fee</t>
  </si>
  <si>
    <t>Validation</t>
  </si>
  <si>
    <t>EVSE Networking (Workplace, Fleet, DCFC)</t>
  </si>
  <si>
    <t>Sales Tax - EVSE</t>
  </si>
  <si>
    <t>Eligible Customer-Side Make-Ready Total (1)</t>
  </si>
  <si>
    <t>Eligible Utility-Side Make-Ready Total (2)</t>
  </si>
  <si>
    <t>Eligible EVSE Total (3)</t>
  </si>
  <si>
    <t>Eligible Networking Total (4)</t>
  </si>
  <si>
    <t>Estimate Total for Eligible Costs</t>
  </si>
  <si>
    <t>Estimate Total for Ineligible Costs</t>
  </si>
  <si>
    <t>Estimate Total for Eligible and Ineligible Costs</t>
  </si>
  <si>
    <r>
      <rPr>
        <b/>
        <u/>
        <family val="2"/>
        <sz val="10"/>
        <rFont val="Calibri"/>
      </rPr>
      <t xml:space="preserve">(1)  Customer-Side Make-Ready Total </t>
    </r>
    <r>
      <rPr>
        <family val="2"/>
        <sz val="10"/>
        <rFont val="Calibri"/>
      </rPr>
      <t xml:space="preserve">should match the amount in the </t>
    </r>
    <r>
      <rPr>
        <u/>
        <family val="2"/>
        <sz val="10"/>
        <rFont val="Calibri"/>
      </rPr>
      <t>Customer-Side Make Ready Infrastructure Cost</t>
    </r>
    <r>
      <rPr>
        <family val="2"/>
        <sz val="10"/>
        <rFont val="Calibri"/>
      </rPr>
      <t xml:space="preserve"> field in the PowerClerk Customer Application Portal for the EV application submitted.
*** </t>
    </r>
    <r>
      <rPr>
        <b/>
        <i/>
        <family val="2"/>
        <sz val="10"/>
        <rFont val="Calibri"/>
      </rPr>
      <t>PROJECTS WITH BOTH LEVEL 2 and DC FAST CHARGERS:</t>
    </r>
    <r>
      <rPr>
        <family val="2"/>
        <sz val="10"/>
        <rFont val="Calibri"/>
      </rPr>
      <t xml:space="preserve"> Please complete two separate applications in Powerclerk Customer Application Portal. Please estimate the Make Ready costs using the percentage of kW load attributed to that type of charger (e.g., if the total customer-side infrastructure estimate is $100,000 and the Level 2 chargers account for 25% of the total load, the Level 2 customer-side infrastructure estimate would be $25,000) ***</t>
    </r>
  </si>
  <si>
    <r>
      <rPr>
        <b/>
        <u/>
        <family val="2"/>
        <sz val="10"/>
        <rFont val="Calibri"/>
      </rPr>
      <t xml:space="preserve">(2)  Utility-Side Make-Ready Total </t>
    </r>
    <r>
      <rPr>
        <family val="2"/>
        <sz val="10"/>
        <rFont val="Calibri"/>
      </rPr>
      <t xml:space="preserve">should match the amount in the </t>
    </r>
    <r>
      <rPr>
        <u/>
        <family val="2"/>
        <sz val="10"/>
        <rFont val="Calibri"/>
      </rPr>
      <t>Utility-Side Make Ready Infrastructure Cost</t>
    </r>
    <r>
      <rPr>
        <family val="2"/>
        <sz val="10"/>
        <rFont val="Calibri"/>
      </rPr>
      <t xml:space="preserve"> field in the PowerClerk Customer Application Portal for the EV application submitted.
*** </t>
    </r>
    <r>
      <rPr>
        <b/>
        <i/>
        <family val="2"/>
        <sz val="10"/>
        <rFont val="Calibri"/>
      </rPr>
      <t>PROJECTS WITH BOTH LEVEL 2 and DC FAST CHARGERS:</t>
    </r>
    <r>
      <rPr>
        <family val="2"/>
        <sz val="10"/>
        <rFont val="Calibri"/>
      </rPr>
      <t xml:space="preserve"> Please complete two separate applications in Powerclerk Customer Application Portal. Please estimate the Make Ready costs using the percentage of kW load attributed to that type of charger (e.g., if the total utility-side infrastructure estimate is $100,000 and the Level 2 chargers account for 25% of the total load, the Level 2 utility -side infrastructure estimate would be $25,000) ***</t>
    </r>
  </si>
  <si>
    <r>
      <rPr>
        <b/>
        <u/>
        <family val="2"/>
        <sz val="10"/>
        <rFont val="Calibri"/>
      </rPr>
      <t>(3)  EVSE Total</t>
    </r>
    <r>
      <rPr>
        <family val="2"/>
        <sz val="10"/>
        <rFont val="Calibri"/>
      </rPr>
      <t xml:space="preserve"> should match the amount in the </t>
    </r>
    <r>
      <rPr>
        <u/>
        <family val="2"/>
        <sz val="10"/>
        <rFont val="Calibri"/>
      </rPr>
      <t xml:space="preserve">EVSE Cost </t>
    </r>
    <r>
      <rPr>
        <family val="2"/>
        <sz val="10"/>
        <rFont val="Calibri"/>
      </rPr>
      <t xml:space="preserve">field in the PowerClerk Customer Application Portal for the EV application submitted.        </t>
    </r>
  </si>
  <si>
    <r>
      <rPr>
        <b/>
        <u/>
        <family val="2"/>
        <sz val="10"/>
        <rFont val="Calibri"/>
      </rPr>
      <t>(4)  Networking Total</t>
    </r>
    <r>
      <rPr>
        <family val="2"/>
        <sz val="10"/>
        <rFont val="Calibri"/>
      </rPr>
      <t xml:space="preserve"> should match the amount in the </t>
    </r>
    <r>
      <rPr>
        <u/>
        <family val="2"/>
        <sz val="10"/>
        <rFont val="Calibri"/>
      </rPr>
      <t xml:space="preserve">Networking Cost </t>
    </r>
    <r>
      <rPr>
        <family val="2"/>
        <sz val="10"/>
        <rFont val="Calibri"/>
      </rPr>
      <t xml:space="preserve">field in the PowerClerk Customer Application Portal for the EV application submitted.        </t>
    </r>
  </si>
  <si>
    <t>Utility-Side means Eversource-Owned, Customer-Side means Customer-Owned. Please refer to table below.</t>
  </si>
  <si>
    <t>Property</t>
  </si>
  <si>
    <t>Equipment Type</t>
  </si>
  <si>
    <t>Installation</t>
  </si>
  <si>
    <t>Ownership</t>
  </si>
  <si>
    <t>Maintenance</t>
  </si>
  <si>
    <t>Public Right of Way</t>
  </si>
  <si>
    <t>Overhead Cable - Primary or Secondary</t>
  </si>
  <si>
    <t>Eversource</t>
  </si>
  <si>
    <t>Underground Cable &amp; Conduit - Primary or Secondary</t>
  </si>
  <si>
    <t>Private Property</t>
  </si>
  <si>
    <t>Eversource*</t>
  </si>
  <si>
    <t>Underground Cable - Primary</t>
  </si>
  <si>
    <t>Underground Conduit - Primary</t>
  </si>
  <si>
    <t>Customer</t>
  </si>
  <si>
    <t>Underground Cable &amp; Conduit - Secondary</t>
  </si>
  <si>
    <t>Transformer Pad</t>
  </si>
  <si>
    <t>Pad-Mounted Transformer</t>
  </si>
  <si>
    <t>Pole</t>
  </si>
  <si>
    <t>Pole-Mounted Transformer</t>
  </si>
  <si>
    <t>Meter Socket, CT Cabinet</t>
  </si>
  <si>
    <t>Meter</t>
  </si>
  <si>
    <t>All Other Facilities</t>
  </si>
  <si>
    <t>* Cambridge, South Shore, Cape &amp; MV: Customer may elect to install cable, using Eversource-approved contractor and in accordance with Eversource material and construction specifications.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</si>
</sst>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numFmt numFmtId="165" formatCode="_(&quot;$&quot;* #,##0.00_);_(&quot;$&quot;* (#,##0.00);_(&quot;$&quot;* &quot;-&quot;??_);_(@_)"/>
  </numFmts>
  <fonts count="16" x14ac:knownFonts="1">
    <font>
      <color theme="1"/>
      <family val="2"/>
      <scheme val="minor"/>
      <sz val="11"/>
      <name val="Calibri"/>
    </font>
    <font>
      <color theme="2" tint="-0.749961851863155"/>
      <family val="2"/>
      <sz val="11"/>
      <name val="Calibri"/>
    </font>
    <font>
      <color theme="2" tint="-0.749961851863155"/>
      <family val="2"/>
      <sz val="8"/>
      <name val="Calibri"/>
    </font>
    <font>
      <b/>
      <color theme="0"/>
      <family val="2"/>
      <sz val="25"/>
      <name val="Calibri"/>
    </font>
    <font>
      <family val="2"/>
      <sz val="10"/>
      <name val="Calibri"/>
    </font>
    <font>
      <b/>
      <family val="2"/>
      <sz val="11"/>
      <name val="Calibri"/>
    </font>
    <font>
      <b/>
      <u/>
      <family val="2"/>
      <sz val="12"/>
      <name val="Calibri"/>
    </font>
    <font>
      <b/>
      <family val="2"/>
      <sz val="14"/>
      <name val="Calibri"/>
    </font>
    <font>
      <b/>
      <color theme="0"/>
      <family val="2"/>
      <sz val="12"/>
      <name val="Calibri"/>
    </font>
    <font>
      <family val="2"/>
      <sz val="11"/>
      <name val="Calibri"/>
    </font>
    <font>
      <family val="2"/>
      <sz val="12"/>
      <name val="Calibri"/>
    </font>
    <font>
      <color theme="2" tint="-0.749961851863155"/>
      <family val="2"/>
      <scheme val="minor"/>
      <sz val="11"/>
      <name val="Arial"/>
    </font>
    <font>
      <i/>
      <family val="2"/>
      <scheme val="minor"/>
      <sz val="11"/>
      <name val="Arial"/>
    </font>
    <font>
      <family val="2"/>
      <scheme val="minor"/>
      <sz val="11"/>
      <name val="Arial"/>
    </font>
    <font>
      <u/>
      <family val="2"/>
      <sz val="11"/>
      <name val="Calibri"/>
    </font>
    <font>
      <i/>
      <family val="2"/>
      <sz val="11"/>
      <name val="Calibri"/>
    </font>
  </fonts>
  <fills count="6">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7" tint="0.499984740745262"/>
        <bgColor indexed="64"/>
      </patternFill>
    </fill>
    <fill>
      <patternFill patternType="solid">
        <fgColor theme="0" tint="-0.249977111117893"/>
        <bgColor indexed="64"/>
      </patternFill>
    </fill>
  </fills>
  <borders count="61">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right style="thin"/>
      <top style="thin"/>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top style="medium">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thin">
        <color theme="1"/>
      </left>
      <right/>
      <top style="thin">
        <color theme="1"/>
      </top>
      <bottom style="thin">
        <color theme="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indexed="64"/>
      </left>
      <right style="medium">
        <color indexed="64"/>
      </right>
      <top style="thin">
        <color theme="1"/>
      </top>
      <bottom style="thin">
        <color theme="1"/>
      </bottom>
      <diagonal/>
    </border>
    <border>
      <left/>
      <right style="medium"/>
      <top style="thin">
        <color theme="1"/>
      </top>
      <bottom style="thin">
        <color theme="1"/>
      </bottom>
      <diagonal/>
    </border>
    <border>
      <left style="medium">
        <color indexed="64"/>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indexed="64"/>
      </left>
      <right style="thin">
        <color indexed="64"/>
      </right>
      <top style="thin">
        <color indexed="64"/>
      </top>
      <bottom/>
      <diagonal/>
    </border>
    <border>
      <left/>
      <right style="medium"/>
      <top style="thin">
        <color theme="1"/>
      </top>
      <bottom/>
      <diagonal/>
    </border>
    <border>
      <left/>
      <right style="medium">
        <color indexed="64"/>
      </right>
      <top/>
      <bottom/>
      <diagonal/>
    </border>
    <border>
      <left/>
      <right/>
      <top style="thin">
        <color theme="1"/>
      </top>
      <bottom/>
      <diagonal/>
    </border>
    <border>
      <left style="thin">
        <color theme="1"/>
      </left>
      <right/>
      <top/>
      <bottom/>
      <diagonal/>
    </border>
    <border>
      <left style="thin">
        <color theme="1"/>
      </left>
      <right style="thin">
        <color theme="1"/>
      </right>
      <top/>
      <bottom style="thin">
        <color theme="1"/>
      </bottom>
      <diagonal/>
    </border>
    <border>
      <left style="thin">
        <color theme="1"/>
      </left>
      <right style="medium"/>
      <top style="thin">
        <color theme="1"/>
      </top>
      <bottom style="thin">
        <color theme="1"/>
      </bottom>
      <diagonal/>
    </border>
    <border>
      <left style="thin">
        <color theme="1"/>
      </left>
      <right style="thin">
        <color theme="1"/>
      </right>
      <top/>
      <bottom style="medium">
        <color indexed="64"/>
      </bottom>
      <diagonal/>
    </border>
    <border>
      <left style="thin">
        <color theme="1"/>
      </left>
      <right style="medium"/>
      <top/>
      <bottom style="medium">
        <color indexed="64"/>
      </bottom>
      <diagonal/>
    </border>
    <border>
      <left style="medium"/>
      <right style="medium"/>
      <top style="thin">
        <color theme="1"/>
      </top>
      <bottom/>
      <diagonal/>
    </border>
    <border>
      <left style="thin"/>
      <right style="thin">
        <color theme="1"/>
      </right>
      <top style="medium"/>
      <bottom style="thin">
        <color theme="1"/>
      </bottom>
      <diagonal/>
    </border>
    <border>
      <left/>
      <right style="thin">
        <color theme="1"/>
      </right>
      <top style="medium"/>
      <bottom style="thin">
        <color theme="1"/>
      </bottom>
      <diagonal/>
    </border>
    <border>
      <left style="thin">
        <color theme="1"/>
      </left>
      <right style="thin">
        <color theme="1"/>
      </right>
      <top style="medium"/>
      <bottom style="thin">
        <color theme="1"/>
      </bottom>
      <diagonal/>
    </border>
    <border>
      <left style="thin">
        <color theme="1"/>
      </left>
      <right/>
      <top style="medium"/>
      <bottom style="thin">
        <color theme="1"/>
      </bottom>
      <diagonal/>
    </border>
    <border>
      <left style="thin">
        <color theme="1"/>
      </left>
      <right/>
      <top/>
      <bottom style="thin">
        <color theme="1"/>
      </bottom>
      <diagonal/>
    </border>
    <border>
      <left style="thin">
        <color theme="1"/>
      </left>
      <right style="medium"/>
      <top/>
      <bottom style="thin">
        <color theme="1"/>
      </bottom>
      <diagonal/>
    </border>
    <border>
      <left style="medium"/>
      <right style="medium"/>
      <top/>
      <bottom/>
      <diagonal/>
    </border>
    <border>
      <left style="medium">
        <color indexed="64"/>
      </left>
      <right style="thin"/>
      <top/>
      <bottom style="thin">
        <color indexed="64"/>
      </bottom>
      <diagonal/>
    </border>
    <border>
      <left style="thin"/>
      <right style="thin">
        <color theme="1"/>
      </right>
      <top/>
      <bottom style="thin">
        <color theme="1"/>
      </bottom>
      <diagonal/>
    </border>
    <border>
      <left/>
      <right style="thin">
        <color theme="1"/>
      </right>
      <top/>
      <bottom style="thin">
        <color theme="1"/>
      </bottom>
      <diagonal/>
    </border>
    <border>
      <left style="thin"/>
      <right style="thin">
        <color theme="1"/>
      </right>
      <top style="thin">
        <color theme="1"/>
      </top>
      <bottom style="thin">
        <color theme="1"/>
      </bottom>
      <diagonal/>
    </border>
    <border>
      <left/>
      <right style="thin">
        <color theme="1"/>
      </right>
      <top style="thin">
        <color theme="1"/>
      </top>
      <bottom style="thin">
        <color theme="1"/>
      </bottom>
      <diagonal/>
    </border>
    <border>
      <left style="medium">
        <color indexed="64"/>
      </left>
      <right/>
      <top style="thin">
        <color indexed="64"/>
      </top>
      <bottom style="medium">
        <color indexed="64"/>
      </bottom>
      <diagonal/>
    </border>
    <border>
      <left style="medium"/>
      <right style="medium"/>
      <top/>
      <bottom style="medium">
        <color indexed="64"/>
      </bottom>
      <diagonal/>
    </border>
    <border>
      <left/>
      <right/>
      <top/>
      <bottom style="thin">
        <color indexed="64"/>
      </bottom>
      <diagonal/>
    </border>
    <border>
      <left style="medium">
        <color indexed="64"/>
      </left>
      <right/>
      <top style="thin">
        <color indexed="64"/>
      </top>
      <bottom style="thin">
        <color indexed="64"/>
      </bottom>
      <diagonal/>
    </border>
  </borders>
  <cellStyleXfs count="1">
    <xf numFmtId="0" fontId="0" fillId="0" borderId="0"/>
  </cellStyleXfs>
  <cellXfs count="158">
    <xf numFmtId="0" fontId="0" fillId="0" borderId="0" xfId="0"/>
    <xf numFmtId="0" fontId="1" fillId="0" borderId="0" xfId="0" applyFont="1" applyAlignment="1">
      <alignment horizontal="left" vertical="center" wrapText="1" indent="1"/>
    </xf>
    <xf numFmtId="0" fontId="1" fillId="0" borderId="0" xfId="0" applyFont="1" applyAlignment="1">
      <alignment horizontal="center" vertical="center" wrapText="1"/>
    </xf>
    <xf numFmtId="0" fontId="2" fillId="0" borderId="0" xfId="0" applyFont="1" applyAlignment="1">
      <alignment horizontal="left" vertical="top" wrapText="1" indent="1"/>
    </xf>
    <xf numFmtId="0" fontId="1" fillId="2" borderId="0" xfId="0" applyFont="1" applyFill="1" applyAlignment="1">
      <alignment horizontal="left" vertical="center" wrapText="1" inden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0" borderId="0" xfId="0" applyFont="1" applyAlignment="1">
      <alignment horizontal="left" vertical="center" wrapText="1" indent="1"/>
    </xf>
    <xf numFmtId="0" fontId="5" fillId="0" borderId="4" xfId="0" applyFont="1" applyBorder="1" applyAlignment="1">
      <alignmen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2" borderId="5" xfId="0" applyFont="1" applyFill="1" applyBorder="1" applyAlignment="1">
      <alignment horizontal="left" vertical="center"/>
    </xf>
    <xf numFmtId="0" fontId="5" fillId="2" borderId="7" xfId="0" applyFont="1" applyFill="1" applyBorder="1" applyAlignment="1">
      <alignment horizontal="left" vertical="center"/>
    </xf>
    <xf numFmtId="0" fontId="5" fillId="2" borderId="6" xfId="0" applyFont="1" applyFill="1" applyBorder="1" applyAlignment="1">
      <alignment horizontal="left" vertical="center"/>
    </xf>
    <xf numFmtId="0" fontId="5" fillId="2" borderId="8" xfId="0" applyFont="1" applyFill="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2" borderId="11" xfId="0" applyFont="1" applyFill="1" applyBorder="1" applyAlignment="1">
      <alignment horizontal="left" vertical="center"/>
    </xf>
    <xf numFmtId="0" fontId="5" fillId="0" borderId="12" xfId="0" applyFont="1" applyBorder="1" applyAlignment="1">
      <alignment horizontal="left" vertical="center"/>
    </xf>
    <xf numFmtId="0" fontId="1" fillId="0" borderId="13" xfId="0" applyFont="1" applyBorder="1" applyAlignment="1">
      <alignment horizontal="left" vertical="center" wrapText="1" indent="1"/>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7" fillId="0" borderId="17" xfId="0" applyFont="1" applyBorder="1" applyAlignment="1">
      <alignment horizontal="left" vertical="center" indent="1"/>
    </xf>
    <xf numFmtId="0" fontId="7" fillId="0" borderId="18" xfId="0" applyFont="1" applyBorder="1" applyAlignment="1">
      <alignment horizontal="left" vertical="center" indent="1"/>
    </xf>
    <xf numFmtId="164" fontId="7" fillId="0" borderId="18"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7" fillId="0" borderId="18" xfId="0" applyFont="1" applyBorder="1" applyAlignment="1">
      <alignment horizontal="center" vertical="center" wrapText="1"/>
    </xf>
    <xf numFmtId="165" fontId="7" fillId="0" borderId="19" xfId="0" applyNumberFormat="1" applyFont="1" applyBorder="1" applyAlignment="1">
      <alignment horizontal="center" vertical="center"/>
    </xf>
    <xf numFmtId="0" fontId="8" fillId="3" borderId="20" xfId="0" applyFont="1" applyFill="1" applyBorder="1" applyAlignment="1">
      <alignment horizontal="left" vertical="center"/>
    </xf>
    <xf numFmtId="0" fontId="7" fillId="3" borderId="0" xfId="0" applyFont="1" applyFill="1" applyAlignment="1">
      <alignment horizontal="left" vertical="center" indent="1"/>
    </xf>
    <xf numFmtId="164" fontId="7" fillId="3" borderId="0" xfId="0" applyNumberFormat="1" applyFont="1" applyFill="1" applyAlignment="1">
      <alignment horizontal="center" vertical="center" wrapText="1"/>
    </xf>
    <xf numFmtId="164" fontId="7" fillId="3" borderId="0" xfId="0" applyNumberFormat="1" applyFont="1" applyFill="1" applyAlignment="1">
      <alignment horizontal="left" vertical="center" wrapText="1" indent="1"/>
    </xf>
    <xf numFmtId="165" fontId="7" fillId="3" borderId="0" xfId="0" applyNumberFormat="1" applyFont="1" applyFill="1" applyAlignment="1">
      <alignment horizontal="left" vertical="center" wrapText="1" indent="1"/>
    </xf>
    <xf numFmtId="165" fontId="7" fillId="3" borderId="0" xfId="0" applyNumberFormat="1" applyFont="1" applyFill="1" applyAlignment="1">
      <alignment horizontal="center" vertical="center" wrapText="1"/>
    </xf>
    <xf numFmtId="165" fontId="7" fillId="3" borderId="21" xfId="0" applyNumberFormat="1" applyFont="1" applyFill="1" applyBorder="1" applyAlignment="1">
      <alignment horizontal="left" vertical="center" wrapText="1" indent="1"/>
    </xf>
    <xf numFmtId="0" fontId="7" fillId="3" borderId="21" xfId="0" applyFont="1" applyFill="1" applyBorder="1" applyAlignment="1">
      <alignment horizontal="left" vertical="center" wrapText="1" indent="1"/>
    </xf>
    <xf numFmtId="165" fontId="7" fillId="3" borderId="22" xfId="0" applyNumberFormat="1" applyFont="1" applyFill="1" applyBorder="1" applyAlignment="1">
      <alignment horizontal="left" vertical="center" indent="1"/>
    </xf>
    <xf numFmtId="0" fontId="9" fillId="0" borderId="4" xfId="0" applyFont="1" applyBorder="1" applyAlignment="1">
      <alignment horizontal="left" vertical="center" wrapText="1" indent="1"/>
    </xf>
    <xf numFmtId="0" fontId="9" fillId="0" borderId="21" xfId="0" applyFont="1" applyBorder="1" applyAlignment="1">
      <alignment horizontal="left" vertical="center" wrapText="1" indent="1"/>
    </xf>
    <xf numFmtId="164" fontId="9" fillId="0" borderId="21" xfId="0" applyNumberFormat="1" applyFont="1" applyBorder="1" applyAlignment="1">
      <alignment horizontal="center" vertical="center" wrapText="1"/>
    </xf>
    <xf numFmtId="164" fontId="9" fillId="0" borderId="23" xfId="0" applyNumberFormat="1" applyFont="1" applyBorder="1" applyAlignment="1">
      <alignment horizontal="left" vertical="center" wrapText="1" indent="1"/>
    </xf>
    <xf numFmtId="165" fontId="9" fillId="0" borderId="23" xfId="0" applyNumberFormat="1" applyFont="1" applyBorder="1" applyAlignment="1">
      <alignment horizontal="left" vertical="center" wrapText="1" indent="1"/>
    </xf>
    <xf numFmtId="165" fontId="9" fillId="0" borderId="5" xfId="0" applyNumberFormat="1" applyFont="1" applyBorder="1" applyAlignment="1">
      <alignment horizontal="center" vertical="center" wrapText="1"/>
    </xf>
    <xf numFmtId="165" fontId="9" fillId="0" borderId="21" xfId="0" applyNumberFormat="1" applyFont="1" applyBorder="1" applyAlignment="1">
      <alignment horizontal="left" vertical="center" wrapText="1" indent="1"/>
    </xf>
    <xf numFmtId="165" fontId="9" fillId="0" borderId="22" xfId="0" applyNumberFormat="1" applyFont="1" applyBorder="1" applyAlignment="1">
      <alignment horizontal="left" vertical="center" indent="1"/>
    </xf>
    <xf numFmtId="0" fontId="3" fillId="3" borderId="0" xfId="0" applyFont="1" applyFill="1" applyAlignment="1">
      <alignment horizontal="left" vertical="center" indent="2"/>
    </xf>
    <xf numFmtId="0" fontId="3" fillId="3" borderId="0" xfId="0" applyFont="1" applyFill="1" applyAlignment="1">
      <alignment horizontal="center" vertical="center"/>
    </xf>
    <xf numFmtId="165" fontId="3" fillId="3" borderId="0" xfId="0" applyNumberFormat="1" applyFont="1" applyFill="1" applyAlignment="1">
      <alignment horizontal="center" vertical="center"/>
    </xf>
    <xf numFmtId="0" fontId="3" fillId="3" borderId="21" xfId="0" applyFont="1" applyFill="1" applyBorder="1" applyAlignment="1">
      <alignment horizontal="left" vertical="center" indent="2"/>
    </xf>
    <xf numFmtId="165" fontId="3" fillId="3" borderId="8" xfId="0" applyNumberFormat="1" applyFont="1" applyFill="1" applyBorder="1" applyAlignment="1">
      <alignment horizontal="left" vertical="center" indent="2"/>
    </xf>
    <xf numFmtId="164" fontId="9" fillId="0" borderId="21" xfId="0" applyNumberFormat="1" applyFont="1" applyBorder="1" applyAlignment="1">
      <alignment horizontal="center" vertical="center"/>
    </xf>
    <xf numFmtId="164" fontId="9" fillId="0" borderId="5" xfId="0" applyNumberFormat="1" applyFont="1" applyBorder="1" applyAlignment="1">
      <alignment horizontal="right" vertical="center"/>
    </xf>
    <xf numFmtId="165" fontId="9" fillId="0" borderId="21" xfId="0" applyNumberFormat="1" applyFont="1" applyBorder="1" applyAlignment="1">
      <alignment horizontal="center" vertical="center" wrapText="1"/>
    </xf>
    <xf numFmtId="0" fontId="9" fillId="0" borderId="21" xfId="0" applyFont="1" applyBorder="1" applyAlignment="1">
      <alignment horizontal="center" vertical="center" wrapText="1"/>
    </xf>
    <xf numFmtId="165" fontId="9" fillId="0" borderId="24" xfId="0" applyNumberFormat="1" applyFont="1" applyBorder="1" applyAlignment="1">
      <alignment horizontal="center" vertical="center" wrapText="1"/>
    </xf>
    <xf numFmtId="164" fontId="9" fillId="0" borderId="21" xfId="0" applyNumberFormat="1" applyFont="1" applyBorder="1" applyAlignment="1">
      <alignment horizontal="right" vertical="center"/>
    </xf>
    <xf numFmtId="0" fontId="9" fillId="0" borderId="21" xfId="0" applyFont="1" applyBorder="1" applyAlignment="1">
      <alignment horizontal="right" vertical="center"/>
    </xf>
    <xf numFmtId="0" fontId="3" fillId="3" borderId="25" xfId="0" applyFont="1" applyFill="1" applyBorder="1" applyAlignment="1">
      <alignment horizontal="left" vertical="center" indent="2"/>
    </xf>
    <xf numFmtId="165" fontId="3" fillId="3" borderId="26" xfId="0" applyNumberFormat="1" applyFont="1" applyFill="1" applyBorder="1" applyAlignment="1">
      <alignment horizontal="left" vertical="center" indent="2"/>
    </xf>
    <xf numFmtId="165" fontId="9" fillId="4" borderId="27" xfId="0" applyNumberFormat="1" applyFont="1" applyFill="1" applyBorder="1" applyAlignment="1">
      <alignment horizontal="center" vertical="center"/>
    </xf>
    <xf numFmtId="164" fontId="9" fillId="4" borderId="27" xfId="0" applyNumberFormat="1" applyFont="1" applyFill="1" applyBorder="1" applyAlignment="1">
      <alignment horizontal="right" vertical="center"/>
    </xf>
    <xf numFmtId="0" fontId="9" fillId="0" borderId="28" xfId="0" applyFont="1" applyBorder="1" applyAlignment="1">
      <alignment horizontal="left" vertical="center" wrapText="1" indent="1"/>
    </xf>
    <xf numFmtId="0" fontId="9" fillId="0" borderId="29" xfId="0" applyFont="1" applyBorder="1" applyAlignment="1">
      <alignment horizontal="left" vertical="center" wrapText="1" indent="1"/>
    </xf>
    <xf numFmtId="164" fontId="9" fillId="0" borderId="29" xfId="0" applyNumberFormat="1" applyFont="1" applyBorder="1" applyAlignment="1">
      <alignment horizontal="center" vertical="center"/>
    </xf>
    <xf numFmtId="164" fontId="9" fillId="0" borderId="29" xfId="0" applyNumberFormat="1" applyFont="1" applyBorder="1" applyAlignment="1">
      <alignment horizontal="right" vertical="center"/>
    </xf>
    <xf numFmtId="165" fontId="9" fillId="0" borderId="29" xfId="0" applyNumberFormat="1" applyFont="1" applyBorder="1" applyAlignment="1">
      <alignment horizontal="center" vertical="center" wrapText="1"/>
    </xf>
    <xf numFmtId="165" fontId="9" fillId="0" borderId="27" xfId="0" applyNumberFormat="1" applyFont="1" applyBorder="1" applyAlignment="1">
      <alignment horizontal="center" vertical="center" wrapText="1"/>
    </xf>
    <xf numFmtId="165" fontId="9" fillId="0" borderId="30" xfId="0" applyNumberFormat="1" applyFont="1" applyBorder="1" applyAlignment="1">
      <alignment horizontal="center" vertical="center" wrapText="1"/>
    </xf>
    <xf numFmtId="165" fontId="9" fillId="0" borderId="31" xfId="0" applyNumberFormat="1" applyFont="1" applyBorder="1" applyAlignment="1">
      <alignment horizontal="center" vertical="center" wrapText="1"/>
    </xf>
    <xf numFmtId="0" fontId="9" fillId="0" borderId="32" xfId="0" applyFont="1" applyBorder="1" applyAlignment="1">
      <alignment horizontal="left" vertical="center" wrapText="1" indent="1"/>
    </xf>
    <xf numFmtId="0" fontId="9" fillId="0" borderId="33" xfId="0" applyFont="1" applyBorder="1" applyAlignment="1">
      <alignment horizontal="left" vertical="center" wrapText="1" indent="1"/>
    </xf>
    <xf numFmtId="164" fontId="9" fillId="0" borderId="33" xfId="0" applyNumberFormat="1" applyFont="1" applyBorder="1" applyAlignment="1">
      <alignment horizontal="right" vertical="center"/>
    </xf>
    <xf numFmtId="165" fontId="9" fillId="0" borderId="33" xfId="0" applyNumberFormat="1" applyFont="1" applyBorder="1" applyAlignment="1">
      <alignment horizontal="center" vertical="center" wrapText="1"/>
    </xf>
    <xf numFmtId="165" fontId="9" fillId="0" borderId="34" xfId="0" applyNumberFormat="1" applyFont="1" applyBorder="1" applyAlignment="1">
      <alignment horizontal="center" vertical="center" wrapText="1"/>
    </xf>
    <xf numFmtId="165" fontId="9" fillId="0" borderId="35" xfId="0" applyNumberFormat="1" applyFont="1" applyBorder="1" applyAlignment="1">
      <alignment horizontal="center" vertical="center" wrapText="1"/>
    </xf>
    <xf numFmtId="0" fontId="9" fillId="0" borderId="35" xfId="0" applyFont="1" applyBorder="1" applyAlignment="1">
      <alignment horizontal="center" vertical="center" wrapText="1"/>
    </xf>
    <xf numFmtId="165" fontId="9" fillId="0" borderId="36" xfId="0" applyNumberFormat="1" applyFont="1" applyBorder="1" applyAlignment="1">
      <alignment horizontal="center" vertical="center" wrapText="1"/>
    </xf>
    <xf numFmtId="165" fontId="3" fillId="3" borderId="37" xfId="0" applyNumberFormat="1" applyFont="1" applyFill="1" applyBorder="1" applyAlignment="1">
      <alignment horizontal="left" vertical="center" indent="2"/>
    </xf>
    <xf numFmtId="164" fontId="9" fillId="0" borderId="10" xfId="0" applyNumberFormat="1" applyFont="1" applyBorder="1" applyAlignment="1">
      <alignment horizontal="right" vertical="center"/>
    </xf>
    <xf numFmtId="165" fontId="9" fillId="0" borderId="10" xfId="0" applyNumberFormat="1" applyFont="1" applyBorder="1" applyAlignment="1">
      <alignment horizontal="center" vertical="center" wrapText="1"/>
    </xf>
    <xf numFmtId="164" fontId="9" fillId="0" borderId="5" xfId="0" applyNumberFormat="1" applyFont="1" applyBorder="1" applyAlignment="1">
      <alignment horizontal="center" vertical="center"/>
    </xf>
    <xf numFmtId="165" fontId="9" fillId="0" borderId="6" xfId="0" applyNumberFormat="1" applyFont="1" applyBorder="1" applyAlignment="1">
      <alignment horizontal="center" vertical="center" wrapText="1"/>
    </xf>
    <xf numFmtId="164" fontId="9" fillId="0" borderId="6" xfId="0" applyNumberFormat="1" applyFont="1" applyBorder="1" applyAlignment="1">
      <alignment horizontal="right" vertical="center"/>
    </xf>
    <xf numFmtId="164" fontId="9" fillId="0" borderId="27" xfId="0" applyNumberFormat="1" applyFont="1" applyBorder="1" applyAlignment="1">
      <alignment horizontal="center" vertical="center"/>
    </xf>
    <xf numFmtId="165" fontId="9" fillId="0" borderId="38" xfId="0" applyNumberFormat="1" applyFont="1" applyBorder="1" applyAlignment="1">
      <alignment horizontal="center" vertical="center" wrapText="1"/>
    </xf>
    <xf numFmtId="165" fontId="9" fillId="0" borderId="39" xfId="0" applyNumberFormat="1" applyFont="1" applyBorder="1" applyAlignment="1">
      <alignment horizontal="center" vertical="center" wrapText="1"/>
    </xf>
    <xf numFmtId="0" fontId="9" fillId="0" borderId="40" xfId="0" applyFont="1" applyBorder="1" applyAlignment="1">
      <alignment horizontal="center" vertical="center" wrapText="1"/>
    </xf>
    <xf numFmtId="165" fontId="9" fillId="0" borderId="41" xfId="0" applyNumberFormat="1" applyFont="1" applyBorder="1" applyAlignment="1">
      <alignment horizontal="center" vertical="center" wrapText="1"/>
    </xf>
    <xf numFmtId="164" fontId="9" fillId="0" borderId="34" xfId="0" applyNumberFormat="1" applyFont="1" applyBorder="1" applyAlignment="1">
      <alignment horizontal="center" vertical="center"/>
    </xf>
    <xf numFmtId="164" fontId="9" fillId="0" borderId="35" xfId="0" applyNumberFormat="1" applyFont="1" applyBorder="1" applyAlignment="1">
      <alignment horizontal="right" vertical="center"/>
    </xf>
    <xf numFmtId="0" fontId="9" fillId="0" borderId="42" xfId="0" applyFont="1" applyBorder="1" applyAlignment="1">
      <alignment horizontal="center" vertical="center" wrapText="1"/>
    </xf>
    <xf numFmtId="165" fontId="9" fillId="0" borderId="43" xfId="0" applyNumberFormat="1" applyFont="1" applyBorder="1" applyAlignment="1">
      <alignment horizontal="center" vertical="center" wrapText="1"/>
    </xf>
    <xf numFmtId="0" fontId="9" fillId="0" borderId="44" xfId="0" applyFont="1" applyBorder="1" applyAlignment="1">
      <alignment horizontal="left" vertical="center" wrapText="1" indent="1"/>
    </xf>
    <xf numFmtId="0" fontId="9" fillId="4" borderId="17" xfId="0" applyFont="1" applyFill="1" applyBorder="1" applyAlignment="1">
      <alignment horizontal="right" vertical="center" wrapText="1" indent="1"/>
    </xf>
    <xf numFmtId="164" fontId="9" fillId="4" borderId="45" xfId="0" applyNumberFormat="1" applyFont="1" applyFill="1" applyBorder="1" applyAlignment="1">
      <alignment horizontal="center" vertical="center"/>
    </xf>
    <xf numFmtId="164" fontId="9" fillId="4" borderId="46" xfId="0" applyNumberFormat="1" applyFont="1" applyFill="1" applyBorder="1" applyAlignment="1">
      <alignment horizontal="right" vertical="center"/>
    </xf>
    <xf numFmtId="164" fontId="9" fillId="4" borderId="47" xfId="0" applyNumberFormat="1" applyFont="1" applyFill="1" applyBorder="1" applyAlignment="1">
      <alignment horizontal="right" vertical="center"/>
    </xf>
    <xf numFmtId="164" fontId="9" fillId="4" borderId="47" xfId="0" applyNumberFormat="1" applyFont="1" applyFill="1" applyBorder="1" applyAlignment="1">
      <alignment horizontal="center" vertical="center"/>
    </xf>
    <xf numFmtId="164" fontId="9" fillId="4" borderId="48" xfId="0" applyNumberFormat="1" applyFont="1" applyFill="1" applyBorder="1" applyAlignment="1">
      <alignment horizontal="right" vertical="center"/>
    </xf>
    <xf numFmtId="164" fontId="9" fillId="4" borderId="49" xfId="0" applyNumberFormat="1" applyFont="1" applyFill="1" applyBorder="1" applyAlignment="1">
      <alignment horizontal="right" vertical="center"/>
    </xf>
    <xf numFmtId="165" fontId="9" fillId="4" borderId="50" xfId="0" applyNumberFormat="1" applyFont="1" applyFill="1" applyBorder="1" applyAlignment="1">
      <alignment horizontal="right" vertical="center"/>
    </xf>
    <xf numFmtId="0" fontId="9" fillId="0" borderId="51" xfId="0" applyFont="1" applyBorder="1" applyAlignment="1">
      <alignment horizontal="left" vertical="center" wrapText="1" indent="1"/>
    </xf>
    <xf numFmtId="0" fontId="9" fillId="0" borderId="52" xfId="0" applyFont="1" applyBorder="1" applyAlignment="1">
      <alignment horizontal="right" vertical="center" wrapText="1" indent="1"/>
    </xf>
    <xf numFmtId="164" fontId="9" fillId="0" borderId="53" xfId="0" applyNumberFormat="1" applyFont="1" applyBorder="1" applyAlignment="1">
      <alignment horizontal="center" vertical="center"/>
    </xf>
    <xf numFmtId="164" fontId="9" fillId="0" borderId="54" xfId="0" applyNumberFormat="1" applyFont="1" applyBorder="1" applyAlignment="1">
      <alignment horizontal="right" vertical="center"/>
    </xf>
    <xf numFmtId="164" fontId="9" fillId="0" borderId="40" xfId="0" applyNumberFormat="1" applyFont="1" applyBorder="1" applyAlignment="1">
      <alignment horizontal="right" vertical="center" wrapText="1"/>
    </xf>
    <xf numFmtId="165" fontId="9" fillId="0" borderId="27" xfId="0" applyNumberFormat="1" applyFont="1" applyBorder="1" applyAlignment="1">
      <alignment horizontal="center" vertical="center"/>
    </xf>
    <xf numFmtId="164" fontId="9" fillId="0" borderId="27" xfId="0" applyNumberFormat="1" applyFont="1" applyBorder="1" applyAlignment="1">
      <alignment horizontal="right" vertical="center"/>
    </xf>
    <xf numFmtId="164" fontId="9" fillId="0" borderId="49" xfId="0" applyNumberFormat="1" applyFont="1" applyBorder="1" applyAlignment="1">
      <alignment horizontal="right" vertical="center"/>
    </xf>
    <xf numFmtId="165" fontId="9" fillId="0" borderId="50" xfId="0" applyNumberFormat="1" applyFont="1" applyBorder="1" applyAlignment="1">
      <alignment horizontal="right" vertical="center"/>
    </xf>
    <xf numFmtId="0" fontId="9" fillId="4" borderId="4" xfId="0" applyFont="1" applyFill="1" applyBorder="1" applyAlignment="1">
      <alignment horizontal="right" vertical="center" wrapText="1" indent="1"/>
    </xf>
    <xf numFmtId="164" fontId="9" fillId="4" borderId="55" xfId="0" applyNumberFormat="1" applyFont="1" applyFill="1" applyBorder="1" applyAlignment="1">
      <alignment horizontal="center" vertical="center"/>
    </xf>
    <xf numFmtId="164" fontId="9" fillId="4" borderId="56" xfId="0" applyNumberFormat="1" applyFont="1" applyFill="1" applyBorder="1" applyAlignment="1">
      <alignment horizontal="right" vertical="center"/>
    </xf>
    <xf numFmtId="164" fontId="9" fillId="4" borderId="29" xfId="0" applyNumberFormat="1" applyFont="1" applyFill="1" applyBorder="1" applyAlignment="1">
      <alignment horizontal="right" vertical="center"/>
    </xf>
    <xf numFmtId="164" fontId="9" fillId="4" borderId="27" xfId="0" applyNumberFormat="1" applyFont="1" applyFill="1" applyBorder="1" applyAlignment="1">
      <alignment horizontal="center" vertical="center"/>
    </xf>
    <xf numFmtId="0" fontId="9" fillId="0" borderId="4" xfId="0" applyFont="1" applyBorder="1" applyAlignment="1">
      <alignment horizontal="right" vertical="center" wrapText="1" indent="1"/>
    </xf>
    <xf numFmtId="164" fontId="9" fillId="0" borderId="55" xfId="0" applyNumberFormat="1" applyFont="1" applyBorder="1" applyAlignment="1">
      <alignment horizontal="center" vertical="center"/>
    </xf>
    <xf numFmtId="164" fontId="9" fillId="0" borderId="56" xfId="0" applyNumberFormat="1" applyFont="1" applyBorder="1" applyAlignment="1">
      <alignment horizontal="right" vertical="center"/>
    </xf>
    <xf numFmtId="0" fontId="5" fillId="4" borderId="4" xfId="0" applyFont="1" applyFill="1" applyBorder="1" applyAlignment="1">
      <alignment horizontal="right" vertical="center" wrapText="1" indent="1"/>
    </xf>
    <xf numFmtId="0" fontId="5" fillId="0" borderId="4" xfId="0" applyFont="1" applyBorder="1" applyAlignment="1">
      <alignment horizontal="right" vertical="center" wrapText="1" indent="1"/>
    </xf>
    <xf numFmtId="0" fontId="9" fillId="0" borderId="51" xfId="0" applyFont="1" applyBorder="1" applyAlignment="1">
      <alignment horizontal="right" vertical="center" wrapText="1"/>
    </xf>
    <xf numFmtId="0" fontId="9" fillId="0" borderId="57" xfId="0" applyFont="1" applyBorder="1" applyAlignment="1">
      <alignment horizontal="right" vertical="center" wrapText="1"/>
    </xf>
    <xf numFmtId="164" fontId="9" fillId="0" borderId="15" xfId="0" applyNumberFormat="1" applyFont="1" applyBorder="1" applyAlignment="1">
      <alignment horizontal="center" vertical="center"/>
    </xf>
    <xf numFmtId="164" fontId="9" fillId="0" borderId="15" xfId="0" applyNumberFormat="1" applyFont="1" applyBorder="1" applyAlignment="1">
      <alignment horizontal="right" vertical="center"/>
    </xf>
    <xf numFmtId="165" fontId="9" fillId="0" borderId="16" xfId="0" applyNumberFormat="1" applyFont="1" applyBorder="1" applyAlignment="1">
      <alignment horizontal="right" vertical="center"/>
    </xf>
    <xf numFmtId="0" fontId="9" fillId="0" borderId="58" xfId="0" applyFont="1" applyBorder="1" applyAlignment="1">
      <alignment horizontal="center" vertical="center" wrapText="1"/>
    </xf>
    <xf numFmtId="0" fontId="5" fillId="0" borderId="57" xfId="0" applyFont="1" applyBorder="1" applyAlignment="1">
      <alignment horizontal="right" vertical="center" wrapText="1"/>
    </xf>
    <xf numFmtId="0" fontId="5" fillId="0" borderId="15" xfId="0" applyFont="1" applyBorder="1" applyAlignment="1">
      <alignment vertical="center" wrapText="1"/>
    </xf>
    <xf numFmtId="0" fontId="5" fillId="0" borderId="15" xfId="0" applyFont="1" applyBorder="1" applyAlignment="1">
      <alignment horizontal="center" vertical="center" wrapText="1"/>
    </xf>
    <xf numFmtId="165" fontId="5" fillId="0" borderId="16" xfId="0" applyNumberFormat="1" applyFont="1" applyBorder="1" applyAlignment="1">
      <alignment horizontal="center" vertical="center" wrapText="1"/>
    </xf>
    <xf numFmtId="0" fontId="4" fillId="0" borderId="0" xfId="0" applyFont="1" applyAlignment="1">
      <alignment vertical="center"/>
    </xf>
    <xf numFmtId="0" fontId="4" fillId="5" borderId="1" xfId="0" applyFont="1" applyFill="1" applyBorder="1" applyAlignment="1">
      <alignment vertical="top" wrapText="1"/>
    </xf>
    <xf numFmtId="0" fontId="4" fillId="5" borderId="59" xfId="0" applyFont="1" applyFill="1" applyBorder="1" applyAlignment="1">
      <alignment vertical="top" wrapText="1"/>
    </xf>
    <xf numFmtId="0" fontId="4" fillId="5" borderId="22" xfId="0" applyFont="1" applyFill="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4" fillId="5" borderId="60" xfId="0" applyFont="1" applyFill="1" applyBorder="1" applyAlignment="1">
      <alignment vertical="top" wrapText="1"/>
    </xf>
    <xf numFmtId="0" fontId="4" fillId="5" borderId="7" xfId="0" applyFont="1" applyFill="1" applyBorder="1" applyAlignment="1">
      <alignment vertical="top" wrapText="1"/>
    </xf>
    <xf numFmtId="0" fontId="4" fillId="5" borderId="8" xfId="0" applyFont="1" applyFill="1" applyBorder="1" applyAlignment="1">
      <alignment vertical="top" wrapText="1"/>
    </xf>
    <xf numFmtId="0" fontId="10" fillId="0" borderId="0" xfId="0" applyFont="1" applyAlignment="1">
      <alignment horizontal="left" vertical="center" indent="1"/>
    </xf>
    <xf numFmtId="0" fontId="11" fillId="0" borderId="0" xfId="0" applyFont="1" applyAlignment="1">
      <alignment horizontal="center" vertical="center" wrapText="1"/>
    </xf>
    <xf numFmtId="0" fontId="11" fillId="0" borderId="0" xfId="0" applyFont="1" applyAlignment="1">
      <alignment vertical="center" wrapText="1"/>
    </xf>
    <xf numFmtId="0" fontId="12" fillId="0" borderId="0" xfId="0" applyFont="1" applyAlignment="1">
      <alignment horizontal="left" vertical="center" indent="1"/>
    </xf>
    <xf numFmtId="0" fontId="13" fillId="0" borderId="0" xfId="0" applyFont="1" applyAlignment="1">
      <alignment horizontal="center" vertical="center" wrapText="1"/>
    </xf>
    <xf numFmtId="0" fontId="13" fillId="0" borderId="0" xfId="0" applyFont="1" applyAlignment="1">
      <alignment vertical="center" wrapText="1"/>
    </xf>
    <xf numFmtId="0" fontId="13" fillId="0" borderId="0" xfId="0" applyFont="1" applyAlignment="1">
      <alignment horizontal="left" vertical="center" wrapText="1" indent="1"/>
    </xf>
    <xf numFmtId="0" fontId="14" fillId="0" borderId="21" xfId="0" applyFont="1" applyBorder="1" applyAlignment="1">
      <alignment horizontal="center" vertical="center" wrapText="1"/>
    </xf>
    <xf numFmtId="0" fontId="9" fillId="0" borderId="21" xfId="0" applyFont="1" applyBorder="1" applyAlignment="1">
      <alignment vertical="center" wrapText="1"/>
    </xf>
    <xf numFmtId="0" fontId="15"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188819</xdr:colOff>
      <xdr:row>0</xdr:row>
      <xdr:rowOff>57150</xdr:rowOff>
    </xdr:from>
    <xdr:to>
      <xdr:col>4</xdr:col>
      <xdr:colOff>1207789</xdr:colOff>
      <xdr:row>0</xdr:row>
      <xdr:rowOff>375396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ES Theme">
  <a:themeElements>
    <a:clrScheme name="Custom 1">
      <a:dk1>
        <a:srgbClr val="000000"/>
      </a:dk1>
      <a:lt1>
        <a:srgbClr val="FFFFFF"/>
      </a:lt1>
      <a:dk2>
        <a:srgbClr val="289B99"/>
      </a:dk2>
      <a:lt2>
        <a:srgbClr val="FFFFFF"/>
      </a:lt2>
      <a:accent1>
        <a:srgbClr val="007749"/>
      </a:accent1>
      <a:accent2>
        <a:srgbClr val="00B140"/>
      </a:accent2>
      <a:accent3>
        <a:srgbClr val="00AEEF"/>
      </a:accent3>
      <a:accent4>
        <a:srgbClr val="04415C"/>
      </a:accent4>
      <a:accent5>
        <a:srgbClr val="7DC718"/>
      </a:accent5>
      <a:accent6>
        <a:srgbClr val="CDDC31"/>
      </a:accent6>
      <a:hlink>
        <a:srgbClr val="0092CC"/>
      </a:hlink>
      <a:folHlink>
        <a:srgbClr val="808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bg1"/>
        </a:solidFill>
        <a:ln w="9525" cap="flat" cmpd="sng" algn="ctr">
          <a:noFill/>
          <a:prstDash val="solid"/>
          <a:round/>
          <a:headEnd type="none" w="med" len="med"/>
          <a:tailEnd type="oval" w="med" len="med"/>
        </a:ln>
        <a:effectLst/>
      </a:spPr>
      <a:bodyPr vert="horz" wrap="square" lIns="91440" tIns="45720" rIns="91440" bIns="45720" numCol="1" rtlCol="0" anchor="t" anchorCtr="0" compatLnSpc="1">
        <a:prstTxWarp prst="textNoShape">
          <a:avLst/>
        </a:prstTxWarp>
        <a:noAutofit/>
      </a:bodyPr>
      <a:lstStyle>
        <a:defPPr marL="0" marR="0" indent="0" algn="l" defTabSz="457200" rtl="0" eaLnBrk="1" fontAlgn="base" latinLnBrk="0" hangingPunct="1">
          <a:lnSpc>
            <a:spcPct val="100000"/>
          </a:lnSpc>
          <a:spcBef>
            <a:spcPct val="50000"/>
          </a:spcBef>
          <a:spcAft>
            <a:spcPct val="0"/>
          </a:spcAft>
          <a:buClrTx/>
          <a:buSzTx/>
          <a:buFontTx/>
          <a:buNone/>
          <a:tabLst/>
          <a:defRPr kumimoji="0" sz="1800" b="1" i="0" u="none" strike="noStrike" cap="none" normalizeH="0" baseline="0">
            <a:ln>
              <a:noFill/>
            </a:ln>
            <a:solidFill>
              <a:schemeClr val="tx1"/>
            </a:solidFill>
            <a:effectLst/>
            <a:latin typeface="Arial" charset="0"/>
            <a:ea typeface="MS PGothic" pitchFamily="34" charset="-128"/>
          </a:defRPr>
        </a:defPPr>
      </a:lstStyle>
    </a:spDef>
    <a:ln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cap="flat" cmpd="sng" algn="ctr">
              <a:solidFill>
                <a:schemeClr val="tx1"/>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chemeClr val="bg2"/>
                </a:outerShdw>
              </a:effectLst>
            </a14:hiddenEffects>
          </a:ext>
        </a:extLst>
      </a:spPr>
      <a:bodyPr vert="horz" wrap="square" lIns="91440" tIns="45720" rIns="91440" bIns="45720" numCol="1" anchor="t" anchorCtr="0" compatLnSpc="1">
        <a:prstTxWarp prst="textNoShape">
          <a:avLst/>
        </a:prstTxWarp>
        <a:spAutoFit/>
      </a:bodyPr>
      <a:lstStyle>
        <a:defPPr marL="0" marR="0" indent="0" algn="l" defTabSz="457200" rtl="0" eaLnBrk="1" fontAlgn="base" latinLnBrk="0" hangingPunct="1">
          <a:lnSpc>
            <a:spcPct val="100000"/>
          </a:lnSpc>
          <a:spcBef>
            <a:spcPct val="50000"/>
          </a:spcBef>
          <a:spcAft>
            <a:spcPct val="0"/>
          </a:spcAft>
          <a:buClrTx/>
          <a:buSzTx/>
          <a:buFontTx/>
          <a:buNone/>
          <a:tabLst/>
          <a:defRPr kumimoji="0" lang="en-US" sz="1800" b="1" i="0" u="none" strike="noStrike" cap="none" normalizeH="0" baseline="0" smtClean="0">
            <a:ln>
              <a:noFill/>
            </a:ln>
            <a:solidFill>
              <a:schemeClr val="tx1"/>
            </a:solidFill>
            <a:effectLst/>
            <a:latin typeface="Arial" charset="0"/>
            <a:ea typeface="MS PGothic" pitchFamily="34" charset="-128"/>
          </a:defRPr>
        </a:defPPr>
      </a:lstStyle>
    </a:lnDef>
  </a:objectDefaults>
  <a:extraClrSchemeLst>
    <a:extraClrScheme>
      <a:clrScheme name="4_NSTAR_Top_Blue-Red 1">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4_NSTAR_Top_Blue-Red 2">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4_NSTAR_Top_Blue-Red 3">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4_NSTAR_Top_Blue-Red 4">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4_NSTAR_Top_Blue-Red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4_NSTAR_Top_Blue-Red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4_NSTAR_Top_Blue-Red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extLst>
    <a:ext uri="{05A4C25C-085E-4340-85A3-A5531E510DB2}">
      <thm15:themeFamily xmlns:thm15="http://schemas.microsoft.com/office/thememl/2012/main" name="ES Theme" id="{CA97371A-03D3-4B1D-BCE3-48390699BC84}" vid="{6D67B392-D226-40BA-836F-E08FCFE6E03C}"/>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N68"/>
  <sheetViews>
    <sheetView workbookViewId="0" showGridLines="0" zoomScale="70" zoomScaleNormal="70">
      <selection activeCell="B12" sqref="B12"/>
    </sheetView>
  </sheetViews>
  <sheetFormatPr defaultRowHeight="33.95" outlineLevelRow="0" outlineLevelCol="0" x14ac:dyDescent="0.2" defaultColWidth="8.875" customHeight="1"/>
  <cols>
    <col min="1" max="1" width="2.625" style="1" customWidth="1"/>
    <col min="2" max="2" width="45.375" style="1" customWidth="1"/>
    <col min="3" max="3" width="44.375" style="1" customWidth="1"/>
    <col min="4" max="4" width="16.75" style="2" customWidth="1"/>
    <col min="5" max="6" width="16.75" style="1" customWidth="1"/>
    <col min="7" max="7" width="18.375" style="2" customWidth="1"/>
    <col min="8" max="10" width="18.375" style="1" customWidth="1"/>
    <col min="11" max="11" width="18.875" style="1" customWidth="1"/>
    <col min="12" max="12" width="30.5" style="3" customWidth="1"/>
    <col min="13" max="13" width="12.875" style="1" customWidth="1"/>
    <col min="14" max="14" width="11.375" style="1" customWidth="1"/>
    <col min="15" max="16384" width="8.875" style="1" customWidth="1"/>
  </cols>
  <sheetData>
    <row r="1" ht="33.95" customHeight="1" x14ac:dyDescent="0.25"/>
    <row r="2" ht="21" customHeight="1" spans="1:14" s="1" customFormat="1" x14ac:dyDescent="0.25">
      <c r="A2" s="4"/>
      <c r="B2" s="5" t="s">
        <v>0</v>
      </c>
      <c r="C2" s="6"/>
      <c r="D2" s="6"/>
      <c r="E2" s="6"/>
      <c r="F2" s="6"/>
      <c r="G2" s="6"/>
      <c r="H2" s="6"/>
      <c r="I2" s="6"/>
      <c r="J2" s="7"/>
      <c r="K2" s="1"/>
      <c r="L2" s="3"/>
      <c r="M2" s="8"/>
      <c r="N2" s="1"/>
    </row>
    <row r="3" ht="20.45" customHeight="1" spans="1:14" s="1" customFormat="1" x14ac:dyDescent="0.25">
      <c r="A3" s="4"/>
      <c r="B3" s="9" t="s">
        <v>1</v>
      </c>
      <c r="C3" s="10" t="s">
        <v>2</v>
      </c>
      <c r="D3" s="11"/>
      <c r="E3" s="10" t="s">
        <v>3</v>
      </c>
      <c r="F3" s="12"/>
      <c r="G3" s="11"/>
      <c r="H3" s="10" t="s">
        <v>4</v>
      </c>
      <c r="I3" s="12"/>
      <c r="J3" s="13"/>
      <c r="K3" s="1"/>
      <c r="L3" s="3"/>
      <c r="M3" s="8"/>
      <c r="N3" s="1"/>
    </row>
    <row r="4" ht="20.45" customHeight="1" spans="1:14" s="1" customFormat="1" x14ac:dyDescent="0.25">
      <c r="A4" s="4"/>
      <c r="B4" s="9"/>
      <c r="C4" s="14" t="s">
        <v>5</v>
      </c>
      <c r="D4" s="15"/>
      <c r="E4" s="16" t="s">
        <v>6</v>
      </c>
      <c r="F4" s="17"/>
      <c r="G4" s="18"/>
      <c r="H4" s="16" t="s">
        <v>7</v>
      </c>
      <c r="I4" s="17"/>
      <c r="J4" s="19"/>
      <c r="K4" s="1"/>
      <c r="L4" s="3"/>
      <c r="M4" s="8"/>
      <c r="N4" s="1"/>
    </row>
    <row r="5" ht="20.45" customHeight="1" spans="2:13" x14ac:dyDescent="0.25">
      <c r="B5" s="9"/>
      <c r="C5" s="14" t="s">
        <v>8</v>
      </c>
      <c r="D5" s="15"/>
      <c r="E5" s="16"/>
      <c r="F5" s="17"/>
      <c r="G5" s="18"/>
      <c r="H5" s="14"/>
      <c r="I5" s="20"/>
      <c r="J5" s="21"/>
      <c r="M5" s="8"/>
    </row>
    <row r="6" ht="20.45" customHeight="1" spans="2:13" x14ac:dyDescent="0.25">
      <c r="B6" s="22"/>
      <c r="C6" s="23"/>
      <c r="D6" s="24"/>
      <c r="E6" s="25"/>
      <c r="F6" s="25"/>
      <c r="G6" s="25"/>
      <c r="H6" s="24"/>
      <c r="I6" s="24"/>
      <c r="J6" s="26"/>
      <c r="M6" s="8"/>
    </row>
    <row r="7" ht="20.45" customHeight="1" spans="2:13" x14ac:dyDescent="0.25">
      <c r="B7" s="27"/>
      <c r="C7" s="28"/>
      <c r="D7" s="29"/>
      <c r="E7" s="29"/>
      <c r="F7" s="29"/>
      <c r="G7" s="29"/>
      <c r="H7" s="29"/>
      <c r="I7" s="29"/>
      <c r="J7" s="30"/>
      <c r="M7" s="8"/>
    </row>
    <row r="8" ht="38.25" customHeight="1" spans="1:12" x14ac:dyDescent="0.25">
      <c r="A8" s="1"/>
      <c r="B8" s="31" t="s">
        <v>9</v>
      </c>
      <c r="C8" s="32" t="s">
        <v>10</v>
      </c>
      <c r="D8" s="33" t="s">
        <v>11</v>
      </c>
      <c r="E8" s="33" t="s">
        <v>12</v>
      </c>
      <c r="F8" s="34" t="s">
        <v>13</v>
      </c>
      <c r="G8" s="34" t="s">
        <v>14</v>
      </c>
      <c r="H8" s="34" t="s">
        <v>15</v>
      </c>
      <c r="I8" s="35" t="s">
        <v>16</v>
      </c>
      <c r="J8" s="36" t="s">
        <v>17</v>
      </c>
      <c r="K8" s="1"/>
      <c r="L8" s="1"/>
    </row>
    <row r="9" ht="30" customHeight="1" spans="2:12" x14ac:dyDescent="0.25">
      <c r="B9" s="37" t="s">
        <v>18</v>
      </c>
      <c r="C9" s="38"/>
      <c r="D9" s="39"/>
      <c r="E9" s="40"/>
      <c r="F9" s="41"/>
      <c r="G9" s="42"/>
      <c r="H9" s="43"/>
      <c r="I9" s="44"/>
      <c r="J9" s="45"/>
      <c r="L9" s="1"/>
    </row>
    <row r="10" ht="30" customHeight="1" spans="2:12" x14ac:dyDescent="0.25">
      <c r="B10" s="46" t="s">
        <v>19</v>
      </c>
      <c r="C10" s="47"/>
      <c r="D10" s="48" t="s">
        <v>20</v>
      </c>
      <c r="E10" s="49"/>
      <c r="F10" s="50"/>
      <c r="G10" s="51"/>
      <c r="H10" s="52"/>
      <c r="I10" s="47"/>
      <c r="J10" s="53">
        <f>G10+H10</f>
      </c>
      <c r="L10" s="1"/>
    </row>
    <row r="11" ht="30" customHeight="1" spans="2:12" x14ac:dyDescent="0.25">
      <c r="B11" s="46" t="s">
        <v>21</v>
      </c>
      <c r="C11" s="47"/>
      <c r="D11" s="48" t="s">
        <v>20</v>
      </c>
      <c r="E11" s="49"/>
      <c r="F11" s="50"/>
      <c r="G11" s="51"/>
      <c r="H11" s="52"/>
      <c r="I11" s="47"/>
      <c r="J11" s="53">
        <f>G11+H11</f>
      </c>
      <c r="L11" s="1"/>
    </row>
    <row r="12" ht="30" customHeight="1" spans="2:12" x14ac:dyDescent="0.25">
      <c r="B12" s="37" t="s">
        <v>22</v>
      </c>
      <c r="C12" s="54"/>
      <c r="D12" s="55"/>
      <c r="E12" s="54"/>
      <c r="F12" s="54"/>
      <c r="G12" s="56"/>
      <c r="H12" s="57"/>
      <c r="I12" s="57"/>
      <c r="J12" s="58"/>
      <c r="K12" s="3"/>
      <c r="L12" s="1"/>
    </row>
    <row r="13" ht="30" customHeight="1" spans="2:12" x14ac:dyDescent="0.25">
      <c r="B13" s="46" t="s">
        <v>23</v>
      </c>
      <c r="C13" s="47"/>
      <c r="D13" s="59" t="s">
        <v>24</v>
      </c>
      <c r="E13" s="60"/>
      <c r="F13" s="51"/>
      <c r="G13" s="51">
        <f>E13*F13</f>
      </c>
      <c r="H13" s="61"/>
      <c r="I13" s="62"/>
      <c r="J13" s="63">
        <f>G13+H13</f>
      </c>
      <c r="K13" s="3"/>
      <c r="L13" s="1"/>
    </row>
    <row r="14" ht="30" customHeight="1" spans="2:12" x14ac:dyDescent="0.25">
      <c r="B14" s="46" t="s">
        <v>25</v>
      </c>
      <c r="C14" s="47"/>
      <c r="D14" s="59" t="s">
        <v>24</v>
      </c>
      <c r="E14" s="60"/>
      <c r="F14" s="51"/>
      <c r="G14" s="51">
        <f>E14*F14</f>
      </c>
      <c r="H14" s="61"/>
      <c r="I14" s="62"/>
      <c r="J14" s="63">
        <f>G14+H14</f>
      </c>
      <c r="K14" s="3"/>
      <c r="L14" s="1"/>
    </row>
    <row r="15" ht="30" customHeight="1" spans="2:12" x14ac:dyDescent="0.25">
      <c r="B15" s="46" t="s">
        <v>26</v>
      </c>
      <c r="C15" s="47"/>
      <c r="D15" s="59" t="s">
        <v>24</v>
      </c>
      <c r="E15" s="60"/>
      <c r="F15" s="51"/>
      <c r="G15" s="51">
        <f>E15*F15</f>
      </c>
      <c r="H15" s="61"/>
      <c r="I15" s="62"/>
      <c r="J15" s="63">
        <f>G15+H15</f>
      </c>
      <c r="K15" s="3"/>
      <c r="L15" s="1"/>
    </row>
    <row r="16" ht="30" customHeight="1" spans="2:12" x14ac:dyDescent="0.25">
      <c r="B16" s="46" t="s">
        <v>27</v>
      </c>
      <c r="C16" s="47"/>
      <c r="D16" s="59" t="s">
        <v>24</v>
      </c>
      <c r="E16" s="60"/>
      <c r="F16" s="51"/>
      <c r="G16" s="51">
        <f>E16*F16</f>
      </c>
      <c r="H16" s="61"/>
      <c r="I16" s="62"/>
      <c r="J16" s="63">
        <f>G16+H16</f>
      </c>
      <c r="K16" s="3"/>
      <c r="L16" s="1"/>
    </row>
    <row r="17" ht="30" customHeight="1" spans="2:12" x14ac:dyDescent="0.25">
      <c r="B17" s="46" t="s">
        <v>28</v>
      </c>
      <c r="C17" s="47"/>
      <c r="D17" s="59" t="s">
        <v>29</v>
      </c>
      <c r="E17" s="60"/>
      <c r="F17" s="51"/>
      <c r="G17" s="51">
        <f>E17*F17</f>
      </c>
      <c r="H17" s="61"/>
      <c r="I17" s="62"/>
      <c r="J17" s="63">
        <f>G17+H17</f>
      </c>
      <c r="K17" s="3"/>
      <c r="L17" s="1"/>
    </row>
    <row r="18" ht="30" customHeight="1" spans="2:12" x14ac:dyDescent="0.25">
      <c r="B18" s="46" t="s">
        <v>30</v>
      </c>
      <c r="C18" s="47"/>
      <c r="D18" s="59" t="s">
        <v>29</v>
      </c>
      <c r="E18" s="64"/>
      <c r="F18" s="61"/>
      <c r="G18" s="61">
        <f>E18*F18</f>
      </c>
      <c r="H18" s="64"/>
      <c r="I18" s="65"/>
      <c r="J18" s="63">
        <f>G18+H18</f>
      </c>
      <c r="K18" s="3"/>
      <c r="L18" s="1"/>
    </row>
    <row r="19" ht="30" customHeight="1" spans="2:12" x14ac:dyDescent="0.25">
      <c r="B19" s="46" t="s">
        <v>31</v>
      </c>
      <c r="C19" s="47" t="s">
        <v>32</v>
      </c>
      <c r="D19" s="59" t="s">
        <v>20</v>
      </c>
      <c r="E19" s="64"/>
      <c r="F19" s="61"/>
      <c r="G19" s="61">
        <f>E19*F19</f>
      </c>
      <c r="H19" s="61"/>
      <c r="I19" s="62"/>
      <c r="J19" s="63">
        <f>G19+H19</f>
      </c>
      <c r="K19" s="3"/>
      <c r="L19" s="1"/>
    </row>
    <row r="20" ht="30" customHeight="1" spans="2:12" x14ac:dyDescent="0.25">
      <c r="B20" s="46" t="s">
        <v>33</v>
      </c>
      <c r="C20" s="47" t="s">
        <v>32</v>
      </c>
      <c r="D20" s="59" t="s">
        <v>20</v>
      </c>
      <c r="E20" s="64"/>
      <c r="F20" s="61"/>
      <c r="G20" s="61">
        <f>E20*F20</f>
      </c>
      <c r="H20" s="61"/>
      <c r="I20" s="62"/>
      <c r="J20" s="63">
        <f>G20+H20</f>
      </c>
      <c r="K20" s="3"/>
      <c r="L20" s="1"/>
    </row>
    <row r="21" ht="30" customHeight="1" spans="2:12" x14ac:dyDescent="0.25">
      <c r="B21" s="46" t="s">
        <v>34</v>
      </c>
      <c r="C21" s="47" t="s">
        <v>32</v>
      </c>
      <c r="D21" s="59" t="s">
        <v>20</v>
      </c>
      <c r="E21" s="64"/>
      <c r="F21" s="61"/>
      <c r="G21" s="61">
        <f>E21*F21</f>
      </c>
      <c r="H21" s="61"/>
      <c r="I21" s="62"/>
      <c r="J21" s="63">
        <f>G21+H21</f>
      </c>
      <c r="K21" s="3"/>
      <c r="L21" s="1"/>
    </row>
    <row r="22" ht="30" customHeight="1" spans="2:12" x14ac:dyDescent="0.25">
      <c r="B22" s="46" t="s">
        <v>35</v>
      </c>
      <c r="C22" s="47" t="s">
        <v>32</v>
      </c>
      <c r="D22" s="59" t="s">
        <v>20</v>
      </c>
      <c r="E22" s="64"/>
      <c r="F22" s="61"/>
      <c r="G22" s="61">
        <f>E22*F22</f>
      </c>
      <c r="H22" s="61"/>
      <c r="I22" s="62"/>
      <c r="J22" s="63">
        <f>G22+H22</f>
      </c>
      <c r="K22" s="3"/>
      <c r="L22" s="1"/>
    </row>
    <row r="23" ht="30" customHeight="1" spans="2:12" x14ac:dyDescent="0.25">
      <c r="B23" s="37" t="s">
        <v>36</v>
      </c>
      <c r="C23" s="54"/>
      <c r="D23" s="55"/>
      <c r="E23" s="54"/>
      <c r="F23" s="54"/>
      <c r="G23" s="56"/>
      <c r="H23" s="66"/>
      <c r="I23" s="66"/>
      <c r="J23" s="67"/>
      <c r="K23" s="3"/>
      <c r="L23" s="1"/>
    </row>
    <row r="24" ht="30" customHeight="1" spans="2:12" x14ac:dyDescent="0.25">
      <c r="B24" s="46" t="s">
        <v>37</v>
      </c>
      <c r="C24" s="47"/>
      <c r="D24" s="59" t="s">
        <v>24</v>
      </c>
      <c r="E24" s="64"/>
      <c r="F24" s="61"/>
      <c r="G24" s="51">
        <f>E24*F24</f>
      </c>
      <c r="H24" s="61"/>
      <c r="I24" s="62"/>
      <c r="J24" s="63">
        <f>G24+H24</f>
      </c>
      <c r="K24" s="3"/>
      <c r="L24" s="1"/>
    </row>
    <row r="25" ht="30" customHeight="1" spans="2:12" x14ac:dyDescent="0.25">
      <c r="B25" s="46" t="s">
        <v>38</v>
      </c>
      <c r="C25" s="47"/>
      <c r="D25" s="59" t="s">
        <v>24</v>
      </c>
      <c r="E25" s="64"/>
      <c r="F25" s="61"/>
      <c r="G25" s="51">
        <f>E25*F25</f>
      </c>
      <c r="H25" s="61"/>
      <c r="I25" s="62"/>
      <c r="J25" s="63">
        <f>G25+H25</f>
      </c>
      <c r="K25" s="3"/>
      <c r="L25" s="1"/>
    </row>
    <row r="26" ht="30" customHeight="1" spans="2:12" x14ac:dyDescent="0.25">
      <c r="B26" s="46" t="s">
        <v>39</v>
      </c>
      <c r="C26" s="47"/>
      <c r="D26" s="59" t="s">
        <v>24</v>
      </c>
      <c r="E26" s="64"/>
      <c r="F26" s="61"/>
      <c r="G26" s="61">
        <f>E26*F26</f>
      </c>
      <c r="H26" s="61"/>
      <c r="I26" s="62"/>
      <c r="J26" s="63">
        <f>G26+H26</f>
      </c>
      <c r="K26" s="3"/>
      <c r="L26" s="1"/>
    </row>
    <row r="27" ht="30" customHeight="1" spans="2:12" x14ac:dyDescent="0.25">
      <c r="B27" s="46"/>
      <c r="C27" s="47"/>
      <c r="D27" s="59"/>
      <c r="E27" s="64"/>
      <c r="F27" s="61"/>
      <c r="G27" s="68">
        <f>E27*F27</f>
      </c>
      <c r="H27" s="69"/>
      <c r="I27" s="62"/>
      <c r="J27" s="63">
        <f>G27+H27</f>
      </c>
      <c r="K27" s="3"/>
      <c r="L27" s="1"/>
    </row>
    <row r="28" ht="30" customHeight="1" spans="2:12" x14ac:dyDescent="0.25">
      <c r="B28" s="46" t="s">
        <v>35</v>
      </c>
      <c r="C28" s="47" t="s">
        <v>32</v>
      </c>
      <c r="D28" s="59" t="s">
        <v>20</v>
      </c>
      <c r="E28" s="64"/>
      <c r="F28" s="61"/>
      <c r="G28" s="61">
        <f>E28*F28</f>
      </c>
      <c r="H28" s="61"/>
      <c r="I28" s="62"/>
      <c r="J28" s="63">
        <f>G28+H28</f>
      </c>
      <c r="K28" s="3"/>
      <c r="L28" s="1"/>
    </row>
    <row r="29" ht="30" customHeight="1" spans="2:12" x14ac:dyDescent="0.25">
      <c r="B29" s="37" t="s">
        <v>40</v>
      </c>
      <c r="C29" s="54"/>
      <c r="D29" s="55"/>
      <c r="E29" s="54"/>
      <c r="F29" s="54"/>
      <c r="G29" s="56"/>
      <c r="H29" s="66"/>
      <c r="I29" s="66"/>
      <c r="J29" s="67"/>
      <c r="K29" s="3"/>
      <c r="L29" s="1"/>
    </row>
    <row r="30" ht="30" customHeight="1" spans="2:11" s="1" customFormat="1" x14ac:dyDescent="0.25">
      <c r="B30" s="70" t="s">
        <v>41</v>
      </c>
      <c r="C30" s="71" t="s">
        <v>42</v>
      </c>
      <c r="D30" s="72" t="s">
        <v>29</v>
      </c>
      <c r="E30" s="73"/>
      <c r="F30" s="74"/>
      <c r="G30" s="75">
        <f>E30*F30</f>
      </c>
      <c r="H30" s="61"/>
      <c r="I30" s="62"/>
      <c r="J30" s="76">
        <f>G30+H30</f>
      </c>
      <c r="K30" s="3"/>
    </row>
    <row r="31" ht="30" customHeight="1" spans="2:11" s="1" customFormat="1" x14ac:dyDescent="0.25">
      <c r="B31" s="70" t="s">
        <v>43</v>
      </c>
      <c r="C31" s="71" t="s">
        <v>42</v>
      </c>
      <c r="D31" s="72" t="s">
        <v>29</v>
      </c>
      <c r="E31" s="73"/>
      <c r="F31" s="74"/>
      <c r="G31" s="75">
        <f>E31*F31</f>
      </c>
      <c r="H31" s="64"/>
      <c r="I31" s="62"/>
      <c r="J31" s="77">
        <f>G31+H31</f>
      </c>
      <c r="K31" s="3"/>
    </row>
    <row r="32" ht="30" customHeight="1" spans="2:11" s="1" customFormat="1" x14ac:dyDescent="0.25">
      <c r="B32" s="70" t="s">
        <v>44</v>
      </c>
      <c r="C32" s="71"/>
      <c r="D32" s="72" t="s">
        <v>29</v>
      </c>
      <c r="E32" s="73"/>
      <c r="F32" s="74"/>
      <c r="G32" s="75">
        <f>E32*F32</f>
      </c>
      <c r="H32" s="61"/>
      <c r="I32" s="62"/>
      <c r="J32" s="77">
        <f>G32+H32</f>
      </c>
      <c r="K32" s="3"/>
    </row>
    <row r="33" ht="30" customHeight="1" spans="2:11" s="1" customFormat="1" x14ac:dyDescent="0.25">
      <c r="B33" s="70" t="s">
        <v>45</v>
      </c>
      <c r="C33" s="71"/>
      <c r="D33" s="72" t="s">
        <v>29</v>
      </c>
      <c r="E33" s="73"/>
      <c r="F33" s="74"/>
      <c r="G33" s="75">
        <f>E33*F33</f>
      </c>
      <c r="H33" s="64"/>
      <c r="I33" s="65"/>
      <c r="J33" s="77">
        <f>G33+H33</f>
      </c>
      <c r="K33" s="3"/>
    </row>
    <row r="34" ht="30" customHeight="1" spans="2:11" s="1" customFormat="1" x14ac:dyDescent="0.25">
      <c r="B34" s="78" t="s">
        <v>46</v>
      </c>
      <c r="C34" s="79" t="s">
        <v>32</v>
      </c>
      <c r="D34" s="59" t="s">
        <v>20</v>
      </c>
      <c r="E34" s="80"/>
      <c r="F34" s="81"/>
      <c r="G34" s="82">
        <f>E34*F34</f>
      </c>
      <c r="H34" s="83"/>
      <c r="I34" s="84"/>
      <c r="J34" s="85">
        <f>G34+H34</f>
      </c>
      <c r="K34" s="3"/>
    </row>
    <row r="35" ht="30" customHeight="1" spans="2:11" s="1" customFormat="1" x14ac:dyDescent="0.25">
      <c r="B35" s="37" t="s">
        <v>47</v>
      </c>
      <c r="C35" s="54"/>
      <c r="D35" s="55"/>
      <c r="E35" s="54"/>
      <c r="F35" s="54"/>
      <c r="G35" s="56"/>
      <c r="H35" s="66"/>
      <c r="I35" s="66"/>
      <c r="J35" s="86"/>
      <c r="K35" s="3"/>
    </row>
    <row r="36" ht="30" customHeight="1" spans="2:11" s="1" customFormat="1" x14ac:dyDescent="0.25">
      <c r="B36" s="70" t="s">
        <v>48</v>
      </c>
      <c r="C36" s="71" t="s">
        <v>49</v>
      </c>
      <c r="D36" s="72" t="s">
        <v>29</v>
      </c>
      <c r="E36" s="73"/>
      <c r="F36" s="74"/>
      <c r="G36" s="75">
        <f>E36*F36</f>
      </c>
      <c r="H36" s="61"/>
      <c r="I36" s="62"/>
      <c r="J36" s="77">
        <f>G36+H36</f>
      </c>
      <c r="K36" s="3"/>
    </row>
    <row r="37" ht="30" customHeight="1" spans="2:11" s="1" customFormat="1" x14ac:dyDescent="0.25">
      <c r="B37" s="37" t="s">
        <v>50</v>
      </c>
      <c r="C37" s="54"/>
      <c r="D37" s="55"/>
      <c r="E37" s="54"/>
      <c r="F37" s="54"/>
      <c r="G37" s="56"/>
      <c r="H37" s="57"/>
      <c r="I37" s="57"/>
      <c r="J37" s="86"/>
      <c r="K37" s="3"/>
    </row>
    <row r="38" ht="30" customHeight="1" spans="2:12" x14ac:dyDescent="0.25">
      <c r="B38" s="46" t="s">
        <v>51</v>
      </c>
      <c r="C38" s="71"/>
      <c r="D38" s="59" t="s">
        <v>24</v>
      </c>
      <c r="E38" s="60"/>
      <c r="F38" s="51"/>
      <c r="G38" s="75">
        <f>E38*F38</f>
      </c>
      <c r="H38" s="61"/>
      <c r="I38" s="62"/>
      <c r="J38" s="77">
        <f>G38+H38</f>
      </c>
      <c r="K38" s="3"/>
      <c r="L38" s="1"/>
    </row>
    <row r="39" ht="30" customHeight="1" spans="2:12" x14ac:dyDescent="0.25">
      <c r="B39" s="46" t="s">
        <v>52</v>
      </c>
      <c r="C39" s="71"/>
      <c r="D39" s="59" t="s">
        <v>24</v>
      </c>
      <c r="E39" s="60"/>
      <c r="F39" s="51"/>
      <c r="G39" s="75">
        <f>E39*F39</f>
      </c>
      <c r="H39" s="61"/>
      <c r="I39" s="62"/>
      <c r="J39" s="77">
        <f>G39+H39</f>
      </c>
      <c r="K39" s="3"/>
      <c r="L39" s="1"/>
    </row>
    <row r="40" ht="30" customHeight="1" spans="2:12" x14ac:dyDescent="0.25">
      <c r="B40" s="46" t="s">
        <v>53</v>
      </c>
      <c r="C40" s="71"/>
      <c r="D40" s="59" t="s">
        <v>24</v>
      </c>
      <c r="E40" s="60"/>
      <c r="F40" s="51"/>
      <c r="G40" s="75">
        <f>E40*F40</f>
      </c>
      <c r="H40" s="61"/>
      <c r="I40" s="62"/>
      <c r="J40" s="77">
        <f>G40+H40</f>
      </c>
      <c r="K40" s="3"/>
      <c r="L40" s="1"/>
    </row>
    <row r="41" ht="30" customHeight="1" spans="2:12" x14ac:dyDescent="0.25">
      <c r="B41" s="46" t="s">
        <v>54</v>
      </c>
      <c r="C41" s="71"/>
      <c r="D41" s="59" t="s">
        <v>24</v>
      </c>
      <c r="E41" s="87"/>
      <c r="F41" s="88"/>
      <c r="G41" s="82">
        <f>E41*F41</f>
      </c>
      <c r="H41" s="61"/>
      <c r="I41" s="62"/>
      <c r="J41" s="77">
        <f>G41+H41</f>
      </c>
      <c r="K41" s="3"/>
      <c r="L41" s="1"/>
    </row>
    <row r="42" ht="30" customHeight="1" spans="2:12" x14ac:dyDescent="0.25">
      <c r="B42" s="46" t="s">
        <v>55</v>
      </c>
      <c r="C42" s="71"/>
      <c r="D42" s="89" t="s">
        <v>29</v>
      </c>
      <c r="E42" s="64"/>
      <c r="F42" s="61"/>
      <c r="G42" s="61">
        <f>E42*F42</f>
      </c>
      <c r="H42" s="90"/>
      <c r="I42" s="62"/>
      <c r="J42" s="77">
        <f>G42+H42</f>
      </c>
      <c r="K42" s="3"/>
      <c r="L42" s="1"/>
    </row>
    <row r="43" ht="30" customHeight="1" spans="2:12" x14ac:dyDescent="0.25">
      <c r="B43" s="46" t="s">
        <v>56</v>
      </c>
      <c r="C43" s="71"/>
      <c r="D43" s="89" t="s">
        <v>29</v>
      </c>
      <c r="E43" s="64"/>
      <c r="F43" s="61"/>
      <c r="G43" s="61">
        <f>E43*F43</f>
      </c>
      <c r="H43" s="90"/>
      <c r="I43" s="62"/>
      <c r="J43" s="77">
        <f>G43+H43</f>
      </c>
      <c r="K43" s="3"/>
      <c r="L43" s="1"/>
    </row>
    <row r="44" ht="30" customHeight="1" spans="2:12" x14ac:dyDescent="0.25">
      <c r="B44" s="46" t="s">
        <v>57</v>
      </c>
      <c r="C44" s="71"/>
      <c r="D44" s="89" t="s">
        <v>29</v>
      </c>
      <c r="E44" s="64"/>
      <c r="F44" s="61"/>
      <c r="G44" s="61">
        <f>E44*F44</f>
      </c>
      <c r="H44" s="90"/>
      <c r="I44" s="62"/>
      <c r="J44" s="77">
        <f>G44+H44</f>
      </c>
      <c r="K44" s="3"/>
      <c r="L44" s="1"/>
    </row>
    <row r="45" ht="30" customHeight="1" spans="2:12" x14ac:dyDescent="0.25">
      <c r="B45" s="46" t="s">
        <v>58</v>
      </c>
      <c r="C45" s="71" t="s">
        <v>32</v>
      </c>
      <c r="D45" s="89" t="s">
        <v>20</v>
      </c>
      <c r="E45" s="64"/>
      <c r="F45" s="61"/>
      <c r="G45" s="61">
        <f>E45*F45</f>
      </c>
      <c r="H45" s="90"/>
      <c r="I45" s="62"/>
      <c r="J45" s="77">
        <f>G45+H45</f>
      </c>
      <c r="K45" s="3"/>
      <c r="L45" s="1"/>
    </row>
    <row r="46" ht="30" customHeight="1" spans="2:12" x14ac:dyDescent="0.25">
      <c r="B46" s="70" t="s">
        <v>59</v>
      </c>
      <c r="C46" s="71" t="s">
        <v>60</v>
      </c>
      <c r="D46" s="89" t="s">
        <v>29</v>
      </c>
      <c r="E46" s="64"/>
      <c r="F46" s="61"/>
      <c r="G46" s="61">
        <f>E46*F46</f>
      </c>
      <c r="H46" s="90"/>
      <c r="I46" s="62"/>
      <c r="J46" s="77">
        <f>G46+H46</f>
      </c>
      <c r="K46" s="3"/>
      <c r="L46" s="1"/>
    </row>
    <row r="47" ht="30" customHeight="1" spans="2:12" x14ac:dyDescent="0.25">
      <c r="B47" s="70" t="s">
        <v>61</v>
      </c>
      <c r="C47" s="71" t="s">
        <v>60</v>
      </c>
      <c r="D47" s="89" t="s">
        <v>29</v>
      </c>
      <c r="E47" s="64"/>
      <c r="F47" s="61"/>
      <c r="G47" s="61">
        <f>E47*F47</f>
      </c>
      <c r="H47" s="90"/>
      <c r="I47" s="62"/>
      <c r="J47" s="77">
        <f>G47+H47</f>
      </c>
      <c r="K47" s="3"/>
      <c r="L47" s="1"/>
    </row>
    <row r="48" ht="30" customHeight="1" spans="2:12" x14ac:dyDescent="0.25">
      <c r="B48" s="46" t="s">
        <v>62</v>
      </c>
      <c r="C48" s="47"/>
      <c r="D48" s="89" t="s">
        <v>20</v>
      </c>
      <c r="E48" s="64"/>
      <c r="F48" s="61"/>
      <c r="G48" s="61">
        <f>E48*F48</f>
      </c>
      <c r="H48" s="91"/>
      <c r="I48" s="62"/>
      <c r="J48" s="63">
        <f>G48+H48</f>
      </c>
      <c r="K48" s="3"/>
      <c r="L48" s="1"/>
    </row>
    <row r="49" ht="30" customHeight="1" spans="2:12" x14ac:dyDescent="0.25">
      <c r="B49" s="37" t="s">
        <v>63</v>
      </c>
      <c r="C49" s="54"/>
      <c r="D49" s="55"/>
      <c r="E49" s="54"/>
      <c r="F49" s="54"/>
      <c r="G49" s="56"/>
      <c r="H49" s="57"/>
      <c r="I49" s="57"/>
      <c r="J49" s="86"/>
      <c r="K49" s="3"/>
      <c r="L49" s="1"/>
    </row>
    <row r="50" ht="30" customHeight="1" spans="2:12" x14ac:dyDescent="0.25">
      <c r="B50" s="70" t="s">
        <v>64</v>
      </c>
      <c r="C50" s="71" t="s">
        <v>60</v>
      </c>
      <c r="D50" s="72" t="s">
        <v>29</v>
      </c>
      <c r="E50" s="73"/>
      <c r="F50" s="74"/>
      <c r="G50" s="75">
        <f>E50*F50</f>
      </c>
      <c r="H50" s="61"/>
      <c r="I50" s="62"/>
      <c r="J50" s="77">
        <f>G50+H50</f>
      </c>
      <c r="K50" s="3"/>
      <c r="L50" s="1"/>
    </row>
    <row r="51" ht="30" customHeight="1" spans="2:12" x14ac:dyDescent="0.25">
      <c r="B51" s="70" t="s">
        <v>65</v>
      </c>
      <c r="C51" s="71" t="s">
        <v>60</v>
      </c>
      <c r="D51" s="72" t="s">
        <v>29</v>
      </c>
      <c r="E51" s="73"/>
      <c r="F51" s="74"/>
      <c r="G51" s="75">
        <f>E51*F51</f>
      </c>
      <c r="H51" s="61"/>
      <c r="I51" s="62"/>
      <c r="J51" s="77">
        <f>G51+H51</f>
      </c>
      <c r="K51" s="3"/>
      <c r="L51" s="1"/>
    </row>
    <row r="52" ht="30" customHeight="1" spans="2:12" x14ac:dyDescent="0.25">
      <c r="B52" s="70" t="s">
        <v>66</v>
      </c>
      <c r="C52" s="71" t="s">
        <v>60</v>
      </c>
      <c r="D52" s="72" t="s">
        <v>29</v>
      </c>
      <c r="E52" s="73"/>
      <c r="F52" s="74"/>
      <c r="G52" s="75">
        <f>E52*F52</f>
      </c>
      <c r="H52" s="61"/>
      <c r="I52" s="62"/>
      <c r="J52" s="77">
        <f>G52+H52</f>
      </c>
      <c r="K52" s="3"/>
      <c r="L52" s="1"/>
    </row>
    <row r="53" ht="30" customHeight="1" spans="2:12" x14ac:dyDescent="0.25">
      <c r="B53" s="70" t="s">
        <v>67</v>
      </c>
      <c r="C53" s="71" t="s">
        <v>60</v>
      </c>
      <c r="D53" s="72" t="s">
        <v>29</v>
      </c>
      <c r="E53" s="80"/>
      <c r="F53" s="81"/>
      <c r="G53" s="75">
        <f>E53*F53</f>
      </c>
      <c r="H53" s="61"/>
      <c r="I53" s="62"/>
      <c r="J53" s="77">
        <f>G53+H53</f>
      </c>
      <c r="K53" s="3"/>
      <c r="L53" s="1"/>
    </row>
    <row r="54" ht="30" customHeight="1" spans="2:12" x14ac:dyDescent="0.25">
      <c r="B54" s="70" t="s">
        <v>35</v>
      </c>
      <c r="C54" s="71" t="s">
        <v>32</v>
      </c>
      <c r="D54" s="92" t="s">
        <v>20</v>
      </c>
      <c r="E54" s="64"/>
      <c r="F54" s="61"/>
      <c r="G54" s="93"/>
      <c r="H54" s="94"/>
      <c r="I54" s="95"/>
      <c r="J54" s="96">
        <f>G54+H54</f>
      </c>
      <c r="K54" s="3"/>
      <c r="L54" s="1"/>
    </row>
    <row r="55" ht="30" customHeight="1" spans="2:11" s="1" customFormat="1" x14ac:dyDescent="0.25">
      <c r="B55" s="46" t="s">
        <v>68</v>
      </c>
      <c r="C55" s="47"/>
      <c r="D55" s="97" t="s">
        <v>20</v>
      </c>
      <c r="E55" s="98"/>
      <c r="F55" s="83"/>
      <c r="G55" s="93"/>
      <c r="H55" s="61"/>
      <c r="I55" s="99"/>
      <c r="J55" s="100">
        <f>G55+H55</f>
      </c>
      <c r="K55" s="3"/>
    </row>
    <row r="56" ht="30" customHeight="1" spans="2:12" x14ac:dyDescent="0.25">
      <c r="B56" s="101"/>
      <c r="C56" s="102" t="s">
        <v>69</v>
      </c>
      <c r="D56" s="103"/>
      <c r="E56" s="104"/>
      <c r="F56" s="105" t="s">
        <v>60</v>
      </c>
      <c r="G56" s="106"/>
      <c r="H56" s="107"/>
      <c r="I56" s="108"/>
      <c r="J56" s="109">
        <f>SUM(J10:J11,J13:J22)</f>
        <v>0</v>
      </c>
      <c r="K56" s="3"/>
      <c r="L56" s="1"/>
    </row>
    <row r="57" ht="30" customHeight="1" spans="2:12" x14ac:dyDescent="0.25">
      <c r="B57" s="110"/>
      <c r="C57" s="111" t="s">
        <v>70</v>
      </c>
      <c r="D57" s="112"/>
      <c r="E57" s="113"/>
      <c r="F57" s="114"/>
      <c r="G57" s="115"/>
      <c r="H57" s="116"/>
      <c r="I57" s="117"/>
      <c r="J57" s="118">
        <f>SUM(J24:J26)</f>
        <v>0</v>
      </c>
      <c r="K57" s="3"/>
      <c r="L57" s="1"/>
    </row>
    <row r="58" ht="30" customHeight="1" spans="2:12" x14ac:dyDescent="0.25">
      <c r="B58" s="110"/>
      <c r="C58" s="119" t="s">
        <v>71</v>
      </c>
      <c r="D58" s="120"/>
      <c r="E58" s="121"/>
      <c r="F58" s="122" t="s">
        <v>60</v>
      </c>
      <c r="G58" s="123"/>
      <c r="H58" s="69"/>
      <c r="I58" s="108"/>
      <c r="J58" s="109">
        <f>SUM(J30:J34)</f>
        <v>0</v>
      </c>
      <c r="K58" s="3"/>
      <c r="L58" s="1"/>
    </row>
    <row r="59" ht="30" customHeight="1" spans="2:12" x14ac:dyDescent="0.25">
      <c r="B59" s="110"/>
      <c r="C59" s="124" t="s">
        <v>72</v>
      </c>
      <c r="D59" s="125"/>
      <c r="E59" s="126"/>
      <c r="F59" s="73" t="s">
        <v>60</v>
      </c>
      <c r="G59" s="92"/>
      <c r="H59" s="116"/>
      <c r="I59" s="117"/>
      <c r="J59" s="118">
        <f>J36</f>
        <v>0</v>
      </c>
      <c r="K59" s="3"/>
      <c r="L59" s="1"/>
    </row>
    <row r="60" ht="30" customHeight="1" spans="2:12" x14ac:dyDescent="0.25">
      <c r="B60" s="110"/>
      <c r="C60" s="127" t="s">
        <v>73</v>
      </c>
      <c r="D60" s="120"/>
      <c r="E60" s="121"/>
      <c r="F60" s="122" t="s">
        <v>60</v>
      </c>
      <c r="G60" s="123"/>
      <c r="H60" s="69"/>
      <c r="I60" s="108"/>
      <c r="J60" s="109">
        <f>SUM(J56:J59)</f>
        <v>0</v>
      </c>
      <c r="K60" s="3"/>
      <c r="L60" s="1"/>
    </row>
    <row r="61" ht="30" customHeight="1" spans="2:12" x14ac:dyDescent="0.25">
      <c r="B61" s="110"/>
      <c r="C61" s="128" t="s">
        <v>74</v>
      </c>
      <c r="D61" s="125"/>
      <c r="E61" s="126"/>
      <c r="F61" s="73" t="s">
        <v>60</v>
      </c>
      <c r="G61" s="92"/>
      <c r="H61" s="116"/>
      <c r="I61" s="117"/>
      <c r="J61" s="118">
        <f>SUM(J38:J48,J50:J55)</f>
        <v>0</v>
      </c>
      <c r="K61" s="3"/>
      <c r="L61" s="1"/>
    </row>
    <row r="62" ht="18.6" customHeight="1" spans="2:12" x14ac:dyDescent="0.25">
      <c r="B62" s="129"/>
      <c r="C62" s="130"/>
      <c r="D62" s="131"/>
      <c r="E62" s="132"/>
      <c r="F62" s="132"/>
      <c r="G62" s="131"/>
      <c r="H62" s="132"/>
      <c r="I62" s="132"/>
      <c r="J62" s="133"/>
      <c r="L62" s="1"/>
    </row>
    <row r="63" ht="25.5" customHeight="1" spans="2:12" x14ac:dyDescent="0.25">
      <c r="B63" s="134"/>
      <c r="C63" s="135" t="s">
        <v>75</v>
      </c>
      <c r="D63" s="136"/>
      <c r="E63" s="136"/>
      <c r="F63" s="136"/>
      <c r="G63" s="137"/>
      <c r="H63" s="136"/>
      <c r="I63" s="136"/>
      <c r="J63" s="138">
        <f>SUM(J60:J61)</f>
        <v>0</v>
      </c>
      <c r="K63" s="139"/>
      <c r="L63" s="1"/>
    </row>
    <row r="64" ht="46.9" customHeight="1" spans="2:12" x14ac:dyDescent="0.25">
      <c r="B64" s="140" t="s">
        <v>76</v>
      </c>
      <c r="C64" s="141"/>
      <c r="D64" s="141"/>
      <c r="E64" s="141"/>
      <c r="F64" s="141"/>
      <c r="G64" s="141"/>
      <c r="H64" s="141"/>
      <c r="I64" s="141"/>
      <c r="J64" s="142"/>
      <c r="L64" s="1"/>
    </row>
    <row r="65" ht="46.9" customHeight="1" spans="2:12" x14ac:dyDescent="0.25">
      <c r="B65" s="140" t="s">
        <v>77</v>
      </c>
      <c r="C65" s="143"/>
      <c r="D65" s="143"/>
      <c r="E65" s="143"/>
      <c r="F65" s="143"/>
      <c r="G65" s="143"/>
      <c r="H65" s="143"/>
      <c r="I65" s="143"/>
      <c r="J65" s="144"/>
      <c r="L65" s="1"/>
    </row>
    <row r="66" ht="25.9" customHeight="1" spans="2:10" x14ac:dyDescent="0.25">
      <c r="B66" s="145" t="s">
        <v>78</v>
      </c>
      <c r="C66" s="146"/>
      <c r="D66" s="146"/>
      <c r="E66" s="146"/>
      <c r="F66" s="146"/>
      <c r="G66" s="146"/>
      <c r="H66" s="146"/>
      <c r="I66" s="146"/>
      <c r="J66" s="147"/>
    </row>
    <row r="67" ht="25.9" customHeight="1" spans="2:10" x14ac:dyDescent="0.25">
      <c r="B67" s="145" t="s">
        <v>79</v>
      </c>
      <c r="C67" s="146"/>
      <c r="D67" s="146"/>
      <c r="E67" s="146"/>
      <c r="F67" s="146"/>
      <c r="G67" s="146"/>
      <c r="H67" s="146"/>
      <c r="I67" s="146"/>
      <c r="J67" s="147"/>
    </row>
    <row r="68" ht="33.95" customHeight="1" spans="2:2" x14ac:dyDescent="0.25">
      <c r="B68" s="148"/>
    </row>
  </sheetData>
  <sheetProtection selectLockedCells="1" formatCells="0" formatColumns="0" formatRows="0" sort="0"/>
  <mergeCells count="15">
    <mergeCell ref="B2:J2"/>
    <mergeCell ref="C3:D3"/>
    <mergeCell ref="E3:G3"/>
    <mergeCell ref="H3:J3"/>
    <mergeCell ref="C4:D4"/>
    <mergeCell ref="E4:G4"/>
    <mergeCell ref="H4:J4"/>
    <mergeCell ref="C5:D5"/>
    <mergeCell ref="E5:G5"/>
    <mergeCell ref="H5:J5"/>
    <mergeCell ref="C7:J7"/>
    <mergeCell ref="B64:J64"/>
    <mergeCell ref="B65:J65"/>
    <mergeCell ref="B66:J66"/>
    <mergeCell ref="B67:J67"/>
  </mergeCells>
  <dataValidations count="14">
    <dataValidation showInputMessage="1" prompt="Create a Simple Invoice in this worksheet" showErrorMessage="1" sqref="A2:A4"/>
    <dataValidation prompt="Enter Invoice Date in the cell at right" showErrorMessage="1" sqref="B3"/>
    <dataValidation showErrorMessage="1" sqref="B4"/>
    <dataValidation prompt="Enter Item number in this column under this heading" showErrorMessage="1" sqref="B8"/>
    <dataValidation prompt="Enter Description in this column under this heading" showErrorMessage="1" sqref="C10:C11"/>
    <dataValidation prompt="Enter Invoice Date in the cell at right" showErrorMessage="1" sqref="C4"/>
    <dataValidation showErrorMessage="1" sqref="C5:C6"/>
    <dataValidation prompt="Enter Description in this column under this heading" showErrorMessage="1" sqref="C8:C11"/>
    <dataValidation prompt="Enter Quantity in this column under this heading" showErrorMessage="1" sqref="D10:E11"/>
    <dataValidation prompt="Enter Quantity in this column under this heading" showErrorMessage="1" sqref="D8:E11"/>
    <dataValidation prompt="Modify Company Name in this cell. Enter company address, phone, fax,  email &amp; website in cells B2 to G3. Enter Billing details in cells B4 to G7" showErrorMessage="1" sqref="E3:E4"/>
    <dataValidation prompt="Enter Unit Price in this column under this heading" showErrorMessage="1" sqref="F10:J11"/>
    <dataValidation prompt="Enter Unit Price in this column under this heading" showErrorMessage="1" sqref="F8:J11"/>
    <dataValidation showErrorMessage="1" sqref="H5:H6"/>
  </dataValidations>
  <printOptions horizontalCentered="1"/>
  <pageMargins left="0.7" right="0.7" top="1" bottom="1" header="0.3" footer="0.3"/>
  <pageSetup orientation="portrait" horizontalDpi="300" verticalDpi="300" scale="44" fitToWidth="1" fitToHeight="0"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selection activeCell="G8" sqref="G8"/>
    </sheetView>
  </sheetViews>
  <sheetFormatPr defaultRowHeight="14.25" outlineLevelRow="0" outlineLevelCol="0" x14ac:dyDescent="0.2" customHeight="1"/>
  <cols>
    <col min="1" max="1" width="17.375" customWidth="1"/>
    <col min="2" max="2" width="26.75" style="149" customWidth="1"/>
    <col min="3" max="3" width="14" style="150" customWidth="1"/>
    <col min="4" max="5" width="14" style="149" customWidth="1"/>
  </cols>
  <sheetData>
    <row r="1" spans="1:9" x14ac:dyDescent="0.25">
      <c r="A1" s="151" t="s">
        <v>80</v>
      </c>
      <c r="B1" s="152"/>
      <c r="C1" s="153"/>
      <c r="D1" s="152"/>
      <c r="E1" s="152"/>
      <c r="F1" s="154"/>
      <c r="G1" s="154"/>
      <c r="H1" s="154"/>
      <c r="I1" s="154"/>
    </row>
    <row r="2" spans="1:9" x14ac:dyDescent="0.25">
      <c r="A2" s="154"/>
      <c r="B2" s="152"/>
      <c r="C2" s="153"/>
      <c r="D2" s="152"/>
      <c r="E2" s="152"/>
      <c r="F2" s="154"/>
      <c r="G2" s="154"/>
      <c r="H2" s="154"/>
      <c r="I2" s="154"/>
    </row>
    <row r="3" ht="15" customHeight="1" spans="1:9" x14ac:dyDescent="0.25">
      <c r="A3" s="155" t="s">
        <v>81</v>
      </c>
      <c r="B3" s="155" t="s">
        <v>82</v>
      </c>
      <c r="C3" s="155" t="s">
        <v>83</v>
      </c>
      <c r="D3" s="155" t="s">
        <v>84</v>
      </c>
      <c r="E3" s="155" t="s">
        <v>85</v>
      </c>
      <c r="F3" s="154"/>
      <c r="G3" s="154"/>
      <c r="H3" s="154"/>
      <c r="I3" s="154"/>
    </row>
    <row r="4" ht="30" customHeight="1" spans="1:9" x14ac:dyDescent="0.25">
      <c r="A4" s="62" t="s">
        <v>86</v>
      </c>
      <c r="B4" s="156" t="s">
        <v>87</v>
      </c>
      <c r="C4" s="62" t="s">
        <v>88</v>
      </c>
      <c r="D4" s="62" t="s">
        <v>88</v>
      </c>
      <c r="E4" s="62" t="s">
        <v>88</v>
      </c>
      <c r="F4" s="154"/>
      <c r="G4" s="154"/>
      <c r="H4" s="154"/>
      <c r="I4" s="154"/>
    </row>
    <row r="5" ht="30" customHeight="1" spans="1:9" x14ac:dyDescent="0.25">
      <c r="A5" s="62"/>
      <c r="B5" s="156" t="s">
        <v>89</v>
      </c>
      <c r="C5" s="62" t="s">
        <v>88</v>
      </c>
      <c r="D5" s="62" t="s">
        <v>88</v>
      </c>
      <c r="E5" s="62" t="s">
        <v>88</v>
      </c>
      <c r="F5" s="154"/>
      <c r="G5" s="154"/>
      <c r="H5" s="154"/>
      <c r="I5" s="154"/>
    </row>
    <row r="6" ht="30" customHeight="1" spans="1:9" x14ac:dyDescent="0.25">
      <c r="A6" s="62" t="s">
        <v>90</v>
      </c>
      <c r="B6" s="156" t="s">
        <v>87</v>
      </c>
      <c r="C6" s="62" t="s">
        <v>91</v>
      </c>
      <c r="D6" s="62" t="s">
        <v>88</v>
      </c>
      <c r="E6" s="62" t="s">
        <v>88</v>
      </c>
      <c r="F6" s="154"/>
      <c r="G6" s="154"/>
      <c r="H6" s="154"/>
      <c r="I6" s="154"/>
    </row>
    <row r="7" ht="15" customHeight="1" spans="1:9" x14ac:dyDescent="0.25">
      <c r="A7" s="62"/>
      <c r="B7" s="156" t="s">
        <v>92</v>
      </c>
      <c r="C7" s="62" t="s">
        <v>91</v>
      </c>
      <c r="D7" s="62" t="s">
        <v>88</v>
      </c>
      <c r="E7" s="62" t="s">
        <v>88</v>
      </c>
      <c r="F7" s="154"/>
      <c r="G7" s="154"/>
      <c r="H7" s="154"/>
      <c r="I7" s="154"/>
    </row>
    <row r="8" ht="15" customHeight="1" spans="1:9" x14ac:dyDescent="0.25">
      <c r="A8" s="62"/>
      <c r="B8" s="156" t="s">
        <v>93</v>
      </c>
      <c r="C8" s="62" t="s">
        <v>94</v>
      </c>
      <c r="D8" s="62" t="s">
        <v>88</v>
      </c>
      <c r="E8" s="62" t="s">
        <v>88</v>
      </c>
      <c r="F8" s="154"/>
      <c r="G8" s="154"/>
      <c r="H8" s="154"/>
      <c r="I8" s="154"/>
    </row>
    <row r="9" ht="30" customHeight="1" spans="1:9" x14ac:dyDescent="0.25">
      <c r="A9" s="62"/>
      <c r="B9" s="156" t="s">
        <v>95</v>
      </c>
      <c r="C9" s="62" t="s">
        <v>94</v>
      </c>
      <c r="D9" s="62" t="s">
        <v>94</v>
      </c>
      <c r="E9" s="62" t="s">
        <v>94</v>
      </c>
      <c r="F9" s="154"/>
      <c r="G9" s="154"/>
      <c r="H9" s="154"/>
      <c r="I9" s="154"/>
    </row>
    <row r="10" ht="15" customHeight="1" spans="1:9" x14ac:dyDescent="0.25">
      <c r="A10" s="62"/>
      <c r="B10" s="156" t="s">
        <v>96</v>
      </c>
      <c r="C10" s="62" t="s">
        <v>94</v>
      </c>
      <c r="D10" s="62" t="s">
        <v>94</v>
      </c>
      <c r="E10" s="62" t="s">
        <v>94</v>
      </c>
      <c r="F10" s="154"/>
      <c r="G10" s="154"/>
      <c r="H10" s="154"/>
      <c r="I10" s="154"/>
    </row>
    <row r="11" ht="15" customHeight="1" spans="1:9" x14ac:dyDescent="0.25">
      <c r="A11" s="62"/>
      <c r="B11" s="156" t="s">
        <v>97</v>
      </c>
      <c r="C11" s="62" t="s">
        <v>88</v>
      </c>
      <c r="D11" s="62" t="s">
        <v>88</v>
      </c>
      <c r="E11" s="62" t="s">
        <v>88</v>
      </c>
      <c r="F11" s="154"/>
      <c r="G11" s="154"/>
      <c r="H11" s="154"/>
      <c r="I11" s="154"/>
    </row>
    <row r="12" ht="15" customHeight="1" spans="1:9" x14ac:dyDescent="0.25">
      <c r="A12" s="62"/>
      <c r="B12" s="156" t="s">
        <v>98</v>
      </c>
      <c r="C12" s="62" t="s">
        <v>88</v>
      </c>
      <c r="D12" s="62" t="s">
        <v>88</v>
      </c>
      <c r="E12" s="62" t="s">
        <v>88</v>
      </c>
      <c r="F12" s="154"/>
      <c r="G12" s="154"/>
      <c r="H12" s="154"/>
      <c r="I12" s="154"/>
    </row>
    <row r="13" ht="15" customHeight="1" spans="1:9" x14ac:dyDescent="0.25">
      <c r="A13" s="62"/>
      <c r="B13" s="156" t="s">
        <v>99</v>
      </c>
      <c r="C13" s="62" t="s">
        <v>88</v>
      </c>
      <c r="D13" s="62" t="s">
        <v>88</v>
      </c>
      <c r="E13" s="62" t="s">
        <v>88</v>
      </c>
      <c r="F13" s="154"/>
      <c r="G13" s="154"/>
      <c r="H13" s="154"/>
      <c r="I13" s="154"/>
    </row>
    <row r="14" ht="15" customHeight="1" spans="1:9" x14ac:dyDescent="0.25">
      <c r="A14" s="62"/>
      <c r="B14" s="156" t="s">
        <v>100</v>
      </c>
      <c r="C14" s="62" t="s">
        <v>94</v>
      </c>
      <c r="D14" s="62" t="s">
        <v>94</v>
      </c>
      <c r="E14" s="62" t="s">
        <v>94</v>
      </c>
      <c r="F14" s="154"/>
      <c r="G14" s="154"/>
      <c r="H14" s="154"/>
      <c r="I14" s="154"/>
    </row>
    <row r="15" ht="15" customHeight="1" spans="1:9" x14ac:dyDescent="0.25">
      <c r="A15" s="62"/>
      <c r="B15" s="156" t="s">
        <v>101</v>
      </c>
      <c r="C15" s="62" t="s">
        <v>88</v>
      </c>
      <c r="D15" s="62" t="s">
        <v>88</v>
      </c>
      <c r="E15" s="62" t="s">
        <v>88</v>
      </c>
      <c r="F15" s="154"/>
      <c r="G15" s="154"/>
      <c r="H15" s="154"/>
      <c r="I15" s="154"/>
    </row>
    <row r="16" ht="15" customHeight="1" spans="1:9" x14ac:dyDescent="0.25">
      <c r="A16" s="62"/>
      <c r="B16" s="156" t="s">
        <v>102</v>
      </c>
      <c r="C16" s="62" t="s">
        <v>94</v>
      </c>
      <c r="D16" s="62" t="s">
        <v>94</v>
      </c>
      <c r="E16" s="62" t="s">
        <v>94</v>
      </c>
      <c r="F16" s="154"/>
      <c r="G16" s="154"/>
      <c r="H16" s="154"/>
      <c r="I16" s="154"/>
    </row>
    <row r="17" spans="1:9" x14ac:dyDescent="0.25">
      <c r="A17" s="154"/>
      <c r="B17" s="152"/>
      <c r="C17" s="153"/>
      <c r="D17" s="152"/>
      <c r="E17" s="152"/>
      <c r="F17" s="154"/>
      <c r="G17" s="154"/>
      <c r="H17" s="154"/>
      <c r="I17" s="154"/>
    </row>
    <row r="18" ht="15" customHeight="1" spans="1:9" x14ac:dyDescent="0.25">
      <c r="A18" s="157" t="s">
        <v>103</v>
      </c>
      <c r="B18" s="152"/>
      <c r="C18" s="153"/>
      <c r="D18" s="152"/>
      <c r="E18" s="152"/>
      <c r="F18" s="154"/>
      <c r="G18" s="154"/>
      <c r="H18" s="154"/>
      <c r="I18" s="154"/>
    </row>
    <row r="19" spans="1:9" x14ac:dyDescent="0.25">
      <c r="A19" s="154"/>
      <c r="B19" s="152"/>
      <c r="C19" s="153"/>
      <c r="D19" s="152"/>
      <c r="E19" s="152"/>
      <c r="F19" s="154"/>
      <c r="G19" s="154"/>
      <c r="H19" s="154"/>
      <c r="I19" s="154"/>
    </row>
    <row r="20" spans="1:9" x14ac:dyDescent="0.25">
      <c r="A20" s="154"/>
      <c r="B20" s="152"/>
      <c r="C20" s="153"/>
      <c r="D20" s="152"/>
      <c r="E20" s="152"/>
      <c r="F20" s="154"/>
      <c r="G20" s="154"/>
      <c r="H20" s="154"/>
      <c r="I20" s="154"/>
    </row>
    <row r="21" spans="1:9" x14ac:dyDescent="0.25">
      <c r="A21" s="154"/>
      <c r="B21" s="152"/>
      <c r="C21" s="153"/>
      <c r="D21" s="152"/>
      <c r="E21" s="152"/>
      <c r="F21" s="154"/>
      <c r="G21" s="154"/>
      <c r="H21" s="154"/>
      <c r="I21" s="154"/>
    </row>
    <row r="22" spans="1:9" x14ac:dyDescent="0.25">
      <c r="A22" s="154"/>
      <c r="B22" s="152"/>
      <c r="C22" s="153"/>
      <c r="D22" s="152"/>
      <c r="E22" s="152"/>
      <c r="F22" s="154"/>
      <c r="G22" s="154"/>
      <c r="H22" s="154"/>
      <c r="I22" s="154"/>
    </row>
    <row r="23" spans="1:9" x14ac:dyDescent="0.25">
      <c r="A23" s="154"/>
      <c r="B23" s="152"/>
      <c r="C23" s="153"/>
      <c r="D23" s="152"/>
      <c r="E23" s="152"/>
      <c r="F23" s="154"/>
      <c r="G23" s="154"/>
      <c r="H23" s="154"/>
      <c r="I23" s="154"/>
    </row>
  </sheetData>
  <mergeCells count="2">
    <mergeCell ref="A4:A5"/>
    <mergeCell ref="A6:A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Estimate</vt:lpstr>
      <vt:lpstr>Utility-Side vs Customer-Side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revision>1</cp:revision>
  <cp:contentStatus/>
  <dcterms:created xsi:type="dcterms:W3CDTF">2021-09-09T20:09:54Z</dcterms:created>
  <dcterms:modified xsi:type="dcterms:W3CDTF">2026-04-09T16:59:57Z</dcterms:modified>
</cp:coreProperties>
</file>