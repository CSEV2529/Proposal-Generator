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D9B9B3E0-209E-4984-AEFF-248BDFC5F6A8}" xr6:coauthVersionLast="47" xr6:coauthVersionMax="47" xr10:uidLastSave="{00000000-0000-0000-0000-000000000000}"/>
  <bookViews>
    <workbookView xWindow="66120" yWindow="2475" windowWidth="36975" windowHeight="18375" xr2:uid="{00000000-000D-0000-FFFF-FFFF00000000}"/>
  </bookViews>
  <sheets>
    <sheet name="EVSE Products-NY" sheetId="1" r:id="rId1"/>
    <sheet name="EVSE Products-MA" sheetId="3" r:id="rId2"/>
    <sheet name="EVSE Products-NJ" sheetId="4" r:id="rId3"/>
    <sheet name="EVSE Products-WA" sheetId="5" r:id="rId4"/>
    <sheet name="Installation Services" sheetId="2" r:id="rId5"/>
  </sheets>
  <definedNames>
    <definedName name="_xlnm._FilterDatabase" localSheetId="1" hidden="1">'EVSE Products-MA'!$A$1:$W$1</definedName>
    <definedName name="_xlnm._FilterDatabase" localSheetId="2" hidden="1">'EVSE Products-NJ'!$A$1:$W$1</definedName>
    <definedName name="_xlnm._FilterDatabase" localSheetId="0" hidden="1">'EVSE Products-NY'!$A$1:$W$1</definedName>
    <definedName name="_xlnm._FilterDatabase" localSheetId="3" hidden="1">'EVSE Products-WA'!$A$1:$W$1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T30" i="5"/>
  <c r="U30" i="5" s="1"/>
  <c r="R30" i="5"/>
  <c r="S30" i="5" s="1"/>
  <c r="T29" i="5"/>
  <c r="U29" i="5" s="1"/>
  <c r="R29" i="5"/>
  <c r="S29" i="5" s="1"/>
  <c r="V28" i="5"/>
  <c r="W28" i="5" s="1"/>
  <c r="T28" i="5"/>
  <c r="U28" i="5" s="1"/>
  <c r="R28" i="5"/>
  <c r="S28" i="5" s="1"/>
  <c r="V27" i="5"/>
  <c r="V30" i="5" s="1"/>
  <c r="W30" i="5" s="1"/>
  <c r="U27" i="5"/>
  <c r="S27" i="5"/>
  <c r="V26" i="5"/>
  <c r="V29" i="5" s="1"/>
  <c r="W29" i="5" s="1"/>
  <c r="U26" i="5"/>
  <c r="S26" i="5"/>
  <c r="W25" i="5"/>
  <c r="V25" i="5"/>
  <c r="U25" i="5"/>
  <c r="S25" i="5"/>
  <c r="V24" i="5"/>
  <c r="W24" i="5" s="1"/>
  <c r="U24" i="5"/>
  <c r="S24" i="5"/>
  <c r="V23" i="5"/>
  <c r="W23" i="5" s="1"/>
  <c r="U23" i="5"/>
  <c r="S23" i="5"/>
  <c r="V22" i="5"/>
  <c r="W22" i="5" s="1"/>
  <c r="U22" i="5"/>
  <c r="S22" i="5"/>
  <c r="V21" i="5"/>
  <c r="W21" i="5" s="1"/>
  <c r="U21" i="5"/>
  <c r="S21" i="5"/>
  <c r="V20" i="5"/>
  <c r="W20" i="5" s="1"/>
  <c r="U20" i="5"/>
  <c r="S20" i="5"/>
  <c r="V19" i="5"/>
  <c r="W19" i="5" s="1"/>
  <c r="U19" i="5"/>
  <c r="S19" i="5"/>
  <c r="V18" i="5"/>
  <c r="W18" i="5" s="1"/>
  <c r="U18" i="5"/>
  <c r="S18" i="5"/>
  <c r="V17" i="5"/>
  <c r="W17" i="5" s="1"/>
  <c r="U17" i="5"/>
  <c r="S17" i="5"/>
  <c r="V16" i="5"/>
  <c r="W16" i="5" s="1"/>
  <c r="T16" i="5"/>
  <c r="U16" i="5" s="1"/>
  <c r="R16" i="5"/>
  <c r="S16" i="5" s="1"/>
  <c r="W15" i="5"/>
  <c r="V15" i="5"/>
  <c r="T15" i="5"/>
  <c r="U15" i="5" s="1"/>
  <c r="R15" i="5"/>
  <c r="S15" i="5" s="1"/>
  <c r="V14" i="5"/>
  <c r="W14" i="5" s="1"/>
  <c r="T14" i="5"/>
  <c r="U14" i="5" s="1"/>
  <c r="S14" i="5"/>
  <c r="R14" i="5"/>
  <c r="W13" i="5"/>
  <c r="V13" i="5"/>
  <c r="T13" i="5"/>
  <c r="U13" i="5" s="1"/>
  <c r="R13" i="5"/>
  <c r="S13" i="5" s="1"/>
  <c r="V12" i="5"/>
  <c r="W12" i="5" s="1"/>
  <c r="T12" i="5"/>
  <c r="U12" i="5" s="1"/>
  <c r="R12" i="5"/>
  <c r="S12" i="5" s="1"/>
  <c r="V11" i="5"/>
  <c r="W11" i="5" s="1"/>
  <c r="T11" i="5"/>
  <c r="U11" i="5" s="1"/>
  <c r="R11" i="5"/>
  <c r="S11" i="5" s="1"/>
  <c r="V10" i="5"/>
  <c r="W10" i="5" s="1"/>
  <c r="T10" i="5"/>
  <c r="U10" i="5" s="1"/>
  <c r="R10" i="5"/>
  <c r="S10" i="5" s="1"/>
  <c r="V9" i="5"/>
  <c r="W9" i="5" s="1"/>
  <c r="U9" i="5"/>
  <c r="T9" i="5"/>
  <c r="S9" i="5"/>
  <c r="R9" i="5"/>
  <c r="V8" i="5"/>
  <c r="W8" i="5" s="1"/>
  <c r="T8" i="5"/>
  <c r="U8" i="5" s="1"/>
  <c r="R8" i="5"/>
  <c r="S8" i="5" s="1"/>
  <c r="V7" i="5"/>
  <c r="W7" i="5" s="1"/>
  <c r="T7" i="5"/>
  <c r="U7" i="5" s="1"/>
  <c r="R7" i="5"/>
  <c r="S7" i="5" s="1"/>
  <c r="V6" i="5"/>
  <c r="W6" i="5" s="1"/>
  <c r="U6" i="5"/>
  <c r="T6" i="5"/>
  <c r="R6" i="5"/>
  <c r="S6" i="5" s="1"/>
  <c r="V5" i="5"/>
  <c r="W5" i="5" s="1"/>
  <c r="T5" i="5"/>
  <c r="U5" i="5" s="1"/>
  <c r="R5" i="5"/>
  <c r="S5" i="5" s="1"/>
  <c r="V4" i="5"/>
  <c r="W4" i="5" s="1"/>
  <c r="T4" i="5"/>
  <c r="U4" i="5" s="1"/>
  <c r="R4" i="5"/>
  <c r="S4" i="5" s="1"/>
  <c r="W3" i="5"/>
  <c r="U3" i="5"/>
  <c r="S3" i="5"/>
  <c r="W2" i="5"/>
  <c r="U2" i="5"/>
  <c r="S2" i="5"/>
  <c r="E2" i="5"/>
  <c r="E2" i="4"/>
  <c r="T30" i="4"/>
  <c r="U30" i="4" s="1"/>
  <c r="S30" i="4"/>
  <c r="R30" i="4"/>
  <c r="T29" i="4"/>
  <c r="U29" i="4" s="1"/>
  <c r="R29" i="4"/>
  <c r="S29" i="4" s="1"/>
  <c r="V28" i="4"/>
  <c r="W28" i="4" s="1"/>
  <c r="T28" i="4"/>
  <c r="U28" i="4" s="1"/>
  <c r="R28" i="4"/>
  <c r="S28" i="4" s="1"/>
  <c r="V27" i="4"/>
  <c r="V30" i="4" s="1"/>
  <c r="W30" i="4" s="1"/>
  <c r="U27" i="4"/>
  <c r="S27" i="4"/>
  <c r="V26" i="4"/>
  <c r="V29" i="4" s="1"/>
  <c r="W29" i="4" s="1"/>
  <c r="U26" i="4"/>
  <c r="S26" i="4"/>
  <c r="W25" i="4"/>
  <c r="V25" i="4"/>
  <c r="U25" i="4"/>
  <c r="S25" i="4"/>
  <c r="W24" i="4"/>
  <c r="V24" i="4"/>
  <c r="U24" i="4"/>
  <c r="S24" i="4"/>
  <c r="V23" i="4"/>
  <c r="W23" i="4" s="1"/>
  <c r="U23" i="4"/>
  <c r="S23" i="4"/>
  <c r="V22" i="4"/>
  <c r="W22" i="4" s="1"/>
  <c r="U22" i="4"/>
  <c r="S22" i="4"/>
  <c r="V21" i="4"/>
  <c r="W21" i="4" s="1"/>
  <c r="U21" i="4"/>
  <c r="S21" i="4"/>
  <c r="V20" i="4"/>
  <c r="W20" i="4" s="1"/>
  <c r="U20" i="4"/>
  <c r="S20" i="4"/>
  <c r="V19" i="4"/>
  <c r="W19" i="4" s="1"/>
  <c r="U19" i="4"/>
  <c r="S19" i="4"/>
  <c r="V18" i="4"/>
  <c r="W18" i="4" s="1"/>
  <c r="U18" i="4"/>
  <c r="S18" i="4"/>
  <c r="V17" i="4"/>
  <c r="W17" i="4" s="1"/>
  <c r="U17" i="4"/>
  <c r="S17" i="4"/>
  <c r="W16" i="4"/>
  <c r="V16" i="4"/>
  <c r="T16" i="4"/>
  <c r="U16" i="4" s="1"/>
  <c r="S16" i="4"/>
  <c r="R16" i="4"/>
  <c r="V15" i="4"/>
  <c r="W15" i="4" s="1"/>
  <c r="T15" i="4"/>
  <c r="U15" i="4" s="1"/>
  <c r="R15" i="4"/>
  <c r="S15" i="4" s="1"/>
  <c r="V14" i="4"/>
  <c r="W14" i="4" s="1"/>
  <c r="T14" i="4"/>
  <c r="U14" i="4" s="1"/>
  <c r="R14" i="4"/>
  <c r="S14" i="4" s="1"/>
  <c r="W13" i="4"/>
  <c r="V13" i="4"/>
  <c r="T13" i="4"/>
  <c r="U13" i="4" s="1"/>
  <c r="R13" i="4"/>
  <c r="S13" i="4" s="1"/>
  <c r="V12" i="4"/>
  <c r="W12" i="4" s="1"/>
  <c r="T12" i="4"/>
  <c r="U12" i="4" s="1"/>
  <c r="R12" i="4"/>
  <c r="S12" i="4" s="1"/>
  <c r="V11" i="4"/>
  <c r="W11" i="4" s="1"/>
  <c r="T11" i="4"/>
  <c r="U11" i="4" s="1"/>
  <c r="R11" i="4"/>
  <c r="S11" i="4" s="1"/>
  <c r="V10" i="4"/>
  <c r="W10" i="4" s="1"/>
  <c r="T10" i="4"/>
  <c r="U10" i="4" s="1"/>
  <c r="R10" i="4"/>
  <c r="S10" i="4" s="1"/>
  <c r="V9" i="4"/>
  <c r="W9" i="4" s="1"/>
  <c r="U9" i="4"/>
  <c r="T9" i="4"/>
  <c r="S9" i="4"/>
  <c r="R9" i="4"/>
  <c r="W8" i="4"/>
  <c r="V8" i="4"/>
  <c r="T8" i="4"/>
  <c r="U8" i="4" s="1"/>
  <c r="R8" i="4"/>
  <c r="S8" i="4" s="1"/>
  <c r="V7" i="4"/>
  <c r="W7" i="4" s="1"/>
  <c r="T7" i="4"/>
  <c r="U7" i="4" s="1"/>
  <c r="R7" i="4"/>
  <c r="S7" i="4" s="1"/>
  <c r="V6" i="4"/>
  <c r="W6" i="4" s="1"/>
  <c r="T6" i="4"/>
  <c r="U6" i="4" s="1"/>
  <c r="R6" i="4"/>
  <c r="S6" i="4" s="1"/>
  <c r="V5" i="4"/>
  <c r="W5" i="4" s="1"/>
  <c r="T5" i="4"/>
  <c r="U5" i="4" s="1"/>
  <c r="R5" i="4"/>
  <c r="S5" i="4" s="1"/>
  <c r="V4" i="4"/>
  <c r="W4" i="4" s="1"/>
  <c r="T4" i="4"/>
  <c r="U4" i="4" s="1"/>
  <c r="S4" i="4"/>
  <c r="R4" i="4"/>
  <c r="W3" i="4"/>
  <c r="U3" i="4"/>
  <c r="S3" i="4"/>
  <c r="W2" i="4"/>
  <c r="U2" i="4"/>
  <c r="S2" i="4"/>
  <c r="E2" i="3"/>
  <c r="T30" i="3"/>
  <c r="U30" i="3" s="1"/>
  <c r="R30" i="3"/>
  <c r="S30" i="3" s="1"/>
  <c r="V29" i="3"/>
  <c r="W29" i="3" s="1"/>
  <c r="T29" i="3"/>
  <c r="U29" i="3" s="1"/>
  <c r="R29" i="3"/>
  <c r="S29" i="3" s="1"/>
  <c r="T28" i="3"/>
  <c r="U28" i="3" s="1"/>
  <c r="R28" i="3"/>
  <c r="S28" i="3" s="1"/>
  <c r="W27" i="3"/>
  <c r="V27" i="3"/>
  <c r="V30" i="3" s="1"/>
  <c r="W30" i="3" s="1"/>
  <c r="U27" i="3"/>
  <c r="S27" i="3"/>
  <c r="W26" i="3"/>
  <c r="V26" i="3"/>
  <c r="U26" i="3"/>
  <c r="S26" i="3"/>
  <c r="V25" i="3"/>
  <c r="V28" i="3" s="1"/>
  <c r="W28" i="3" s="1"/>
  <c r="U25" i="3"/>
  <c r="S25" i="3"/>
  <c r="V24" i="3"/>
  <c r="W24" i="3" s="1"/>
  <c r="U24" i="3"/>
  <c r="S24" i="3"/>
  <c r="V23" i="3"/>
  <c r="W23" i="3" s="1"/>
  <c r="U23" i="3"/>
  <c r="S23" i="3"/>
  <c r="V22" i="3"/>
  <c r="W22" i="3" s="1"/>
  <c r="U22" i="3"/>
  <c r="S22" i="3"/>
  <c r="V21" i="3"/>
  <c r="W21" i="3" s="1"/>
  <c r="U21" i="3"/>
  <c r="S21" i="3"/>
  <c r="V20" i="3"/>
  <c r="W20" i="3" s="1"/>
  <c r="U20" i="3"/>
  <c r="S20" i="3"/>
  <c r="V19" i="3"/>
  <c r="W19" i="3" s="1"/>
  <c r="U19" i="3"/>
  <c r="S19" i="3"/>
  <c r="V18" i="3"/>
  <c r="W18" i="3" s="1"/>
  <c r="U18" i="3"/>
  <c r="S18" i="3"/>
  <c r="V17" i="3"/>
  <c r="W17" i="3" s="1"/>
  <c r="U17" i="3"/>
  <c r="S17" i="3"/>
  <c r="V16" i="3"/>
  <c r="W16" i="3" s="1"/>
  <c r="T16" i="3"/>
  <c r="U16" i="3" s="1"/>
  <c r="R16" i="3"/>
  <c r="S16" i="3" s="1"/>
  <c r="V15" i="3"/>
  <c r="W15" i="3" s="1"/>
  <c r="T15" i="3"/>
  <c r="U15" i="3" s="1"/>
  <c r="R15" i="3"/>
  <c r="S15" i="3" s="1"/>
  <c r="V14" i="3"/>
  <c r="W14" i="3" s="1"/>
  <c r="T14" i="3"/>
  <c r="U14" i="3" s="1"/>
  <c r="R14" i="3"/>
  <c r="S14" i="3" s="1"/>
  <c r="V13" i="3"/>
  <c r="W13" i="3" s="1"/>
  <c r="T13" i="3"/>
  <c r="U13" i="3" s="1"/>
  <c r="R13" i="3"/>
  <c r="S13" i="3" s="1"/>
  <c r="V12" i="3"/>
  <c r="W12" i="3" s="1"/>
  <c r="T12" i="3"/>
  <c r="U12" i="3" s="1"/>
  <c r="R12" i="3"/>
  <c r="S12" i="3" s="1"/>
  <c r="V11" i="3"/>
  <c r="W11" i="3" s="1"/>
  <c r="T11" i="3"/>
  <c r="U11" i="3" s="1"/>
  <c r="S11" i="3"/>
  <c r="R11" i="3"/>
  <c r="V10" i="3"/>
  <c r="W10" i="3" s="1"/>
  <c r="T10" i="3"/>
  <c r="U10" i="3" s="1"/>
  <c r="R10" i="3"/>
  <c r="S10" i="3" s="1"/>
  <c r="V9" i="3"/>
  <c r="W9" i="3" s="1"/>
  <c r="T9" i="3"/>
  <c r="U9" i="3" s="1"/>
  <c r="R9" i="3"/>
  <c r="S9" i="3" s="1"/>
  <c r="V8" i="3"/>
  <c r="W8" i="3" s="1"/>
  <c r="T8" i="3"/>
  <c r="U8" i="3" s="1"/>
  <c r="R8" i="3"/>
  <c r="S8" i="3" s="1"/>
  <c r="V7" i="3"/>
  <c r="W7" i="3" s="1"/>
  <c r="T7" i="3"/>
  <c r="U7" i="3" s="1"/>
  <c r="R7" i="3"/>
  <c r="S7" i="3" s="1"/>
  <c r="V6" i="3"/>
  <c r="W6" i="3" s="1"/>
  <c r="T6" i="3"/>
  <c r="U6" i="3" s="1"/>
  <c r="R6" i="3"/>
  <c r="S6" i="3" s="1"/>
  <c r="W5" i="3"/>
  <c r="V5" i="3"/>
  <c r="T5" i="3"/>
  <c r="U5" i="3" s="1"/>
  <c r="R5" i="3"/>
  <c r="S5" i="3" s="1"/>
  <c r="V4" i="3"/>
  <c r="W4" i="3" s="1"/>
  <c r="T4" i="3"/>
  <c r="U4" i="3" s="1"/>
  <c r="R4" i="3"/>
  <c r="S4" i="3" s="1"/>
  <c r="W3" i="3"/>
  <c r="U3" i="3"/>
  <c r="S3" i="3"/>
  <c r="W2" i="3"/>
  <c r="U2" i="3"/>
  <c r="S2" i="3"/>
  <c r="V28" i="1"/>
  <c r="V29" i="1"/>
  <c r="V32" i="1" s="1"/>
  <c r="W32" i="1" s="1"/>
  <c r="V27" i="1"/>
  <c r="V30" i="1" s="1"/>
  <c r="W30" i="1" s="1"/>
  <c r="V31" i="1"/>
  <c r="W31" i="1" s="1"/>
  <c r="T32" i="1"/>
  <c r="U32" i="1" s="1"/>
  <c r="T31" i="1"/>
  <c r="U31" i="1" s="1"/>
  <c r="T30" i="1"/>
  <c r="U30" i="1" s="1"/>
  <c r="R31" i="1"/>
  <c r="S31" i="1" s="1"/>
  <c r="R32" i="1"/>
  <c r="S32" i="1" s="1"/>
  <c r="R30" i="1"/>
  <c r="S30" i="1" s="1"/>
  <c r="V20" i="1"/>
  <c r="W20" i="1" s="1"/>
  <c r="V21" i="1"/>
  <c r="W21" i="1" s="1"/>
  <c r="V22" i="1"/>
  <c r="W22" i="1" s="1"/>
  <c r="V23" i="1"/>
  <c r="W23" i="1" s="1"/>
  <c r="V24" i="1"/>
  <c r="V25" i="1"/>
  <c r="W25" i="1" s="1"/>
  <c r="V26" i="1"/>
  <c r="V19" i="1"/>
  <c r="W19" i="1" s="1"/>
  <c r="V4" i="1"/>
  <c r="W4" i="1" s="1"/>
  <c r="T4" i="1"/>
  <c r="U4" i="1" s="1"/>
  <c r="R4" i="1"/>
  <c r="S4" i="1" s="1"/>
  <c r="V12" i="1"/>
  <c r="W12" i="1" s="1"/>
  <c r="T12" i="1"/>
  <c r="U12" i="1" s="1"/>
  <c r="R12" i="1"/>
  <c r="S12" i="1" s="1"/>
  <c r="V11" i="1"/>
  <c r="W11" i="1" s="1"/>
  <c r="T11" i="1"/>
  <c r="U11" i="1" s="1"/>
  <c r="R11" i="1"/>
  <c r="S11" i="1" s="1"/>
  <c r="V10" i="1"/>
  <c r="W10" i="1" s="1"/>
  <c r="T10" i="1"/>
  <c r="U10" i="1" s="1"/>
  <c r="R10" i="1"/>
  <c r="S10" i="1" s="1"/>
  <c r="V9" i="1"/>
  <c r="W9" i="1" s="1"/>
  <c r="T9" i="1"/>
  <c r="U9" i="1" s="1"/>
  <c r="R9" i="1"/>
  <c r="S9" i="1" s="1"/>
  <c r="V8" i="1"/>
  <c r="W8" i="1" s="1"/>
  <c r="T8" i="1"/>
  <c r="U8" i="1" s="1"/>
  <c r="R8" i="1"/>
  <c r="S8" i="1" s="1"/>
  <c r="V7" i="1"/>
  <c r="W7" i="1" s="1"/>
  <c r="T7" i="1"/>
  <c r="U7" i="1" s="1"/>
  <c r="R7" i="1"/>
  <c r="S7" i="1" s="1"/>
  <c r="V6" i="1"/>
  <c r="W6" i="1" s="1"/>
  <c r="T6" i="1"/>
  <c r="U6" i="1" s="1"/>
  <c r="R6" i="1"/>
  <c r="S6" i="1" s="1"/>
  <c r="W5" i="1"/>
  <c r="U5" i="1"/>
  <c r="S5" i="1"/>
  <c r="W29" i="1"/>
  <c r="W28" i="1"/>
  <c r="W26" i="1"/>
  <c r="W24" i="1"/>
  <c r="W3" i="1"/>
  <c r="W2" i="1"/>
  <c r="U3" i="1"/>
  <c r="U19" i="1"/>
  <c r="U20" i="1"/>
  <c r="U21" i="1"/>
  <c r="U22" i="1"/>
  <c r="U23" i="1"/>
  <c r="U24" i="1"/>
  <c r="U25" i="1"/>
  <c r="U26" i="1"/>
  <c r="U27" i="1"/>
  <c r="U28" i="1"/>
  <c r="U29" i="1"/>
  <c r="U2" i="1"/>
  <c r="S14" i="1"/>
  <c r="S15" i="1"/>
  <c r="S16" i="1"/>
  <c r="S19" i="1"/>
  <c r="S20" i="1"/>
  <c r="S21" i="1"/>
  <c r="S22" i="1"/>
  <c r="S23" i="1"/>
  <c r="S24" i="1"/>
  <c r="S25" i="1"/>
  <c r="S26" i="1"/>
  <c r="S27" i="1"/>
  <c r="S28" i="1"/>
  <c r="S29" i="1"/>
  <c r="S2" i="1"/>
  <c r="S3" i="1"/>
  <c r="V5" i="1"/>
  <c r="T5" i="1"/>
  <c r="R5" i="1"/>
  <c r="V16" i="1"/>
  <c r="W16" i="1" s="1"/>
  <c r="T16" i="1"/>
  <c r="U16" i="1" s="1"/>
  <c r="R16" i="1"/>
  <c r="V15" i="1"/>
  <c r="W15" i="1" s="1"/>
  <c r="T15" i="1"/>
  <c r="U15" i="1" s="1"/>
  <c r="R15" i="1"/>
  <c r="V14" i="1"/>
  <c r="W14" i="1" s="1"/>
  <c r="T14" i="1"/>
  <c r="U14" i="1" s="1"/>
  <c r="R14" i="1"/>
  <c r="V13" i="1"/>
  <c r="W13" i="1" s="1"/>
  <c r="T13" i="1"/>
  <c r="U13" i="1" s="1"/>
  <c r="R13" i="1"/>
  <c r="S13" i="1" s="1"/>
  <c r="W27" i="1" l="1"/>
  <c r="W26" i="5"/>
  <c r="W27" i="5"/>
  <c r="W26" i="4"/>
  <c r="W27" i="4"/>
  <c r="W25" i="3"/>
</calcChain>
</file>

<file path=xl/sharedStrings.xml><?xml version="1.0" encoding="utf-8"?>
<sst xmlns="http://schemas.openxmlformats.org/spreadsheetml/2006/main" count="1292" uniqueCount="370">
  <si>
    <t>ID</t>
  </si>
  <si>
    <t>Name</t>
  </si>
  <si>
    <t>Description</t>
  </si>
  <si>
    <t>Manufacturer</t>
  </si>
  <si>
    <t>Unit Price ($)</t>
  </si>
  <si>
    <t>CSEV Cost ($)</t>
  </si>
  <si>
    <t>Annual Network Plan ($)</t>
  </si>
  <si>
    <t>Network Plan 1yr ($)</t>
  </si>
  <si>
    <t>Network Plan 3yr ($)</t>
  </si>
  <si>
    <t>Network Plan 5yr ($)</t>
  </si>
  <si>
    <t>Network Cost 1yr ($)</t>
  </si>
  <si>
    <t>Network Cost 3yr ($)</t>
  </si>
  <si>
    <t>Network Cost 5yr ($)</t>
  </si>
  <si>
    <t>Shipping ($)</t>
  </si>
  <si>
    <t>Number of Plugs</t>
  </si>
  <si>
    <t>Category</t>
  </si>
  <si>
    <t>Charging Level</t>
  </si>
  <si>
    <t>Warranty: 5-Yr Parts ONLY ($)</t>
  </si>
  <si>
    <t>Warranty: 3-Yr FULL P&amp;L ($)</t>
  </si>
  <si>
    <t>Warranty: 5-Yr FULL P&amp;L ($)</t>
  </si>
  <si>
    <t>csev-ac-dp-48a</t>
  </si>
  <si>
    <t>MaxiCharger ACUltra - CSEV-AC-DP - 48A Output - Dual Port Pedestal with CMS</t>
  </si>
  <si>
    <t>MaxiCharger ACUltra - CSEV-AC-DP - 48A Output - Dual Port Pedestal with CMS. Includes 3 Years of Parts Only Warranty</t>
  </si>
  <si>
    <t>Autel</t>
  </si>
  <si>
    <t>charger</t>
  </si>
  <si>
    <t>level2</t>
  </si>
  <si>
    <t>csev-ac-sp-48a-pedestal</t>
  </si>
  <si>
    <t>MaxiCharger ACUltra - CSEV-AC-SP - 48A Output - Single Port Pedestal with CMS</t>
  </si>
  <si>
    <t>MaxiCharger ACUltra - CSEV-AC-SP - 48A Output - Single Port Pedestal with CMS. Includes 3 Years of Parts Only Warranty</t>
  </si>
  <si>
    <t>csev-ac-sp-48a-wall</t>
  </si>
  <si>
    <t>MaxiCharger ACUltra - CSEV-AC-SP - 48A Output - Single Port Wall Mount</t>
  </si>
  <si>
    <t>MaxiCharger ACUltra - CSEV-AC-SP - 48A Output - Single Port Wall Mount. Includes 3 Years of Parts Only Warranty</t>
  </si>
  <si>
    <t>csev-ac-dp-40a</t>
  </si>
  <si>
    <t>MaxiCharger ACUltra - CSEV-AC-DP - 40A Output - Dual Port Pedestal with CMS</t>
  </si>
  <si>
    <t>MaxiCharger ACUltra - CSEV-AC-DP - 40A Output - Dual Port Pedestal with CMS. Includes 3 Years of Parts Only Warranty</t>
  </si>
  <si>
    <t>csev-ac-sp-40a-pedestal</t>
  </si>
  <si>
    <t>MaxiCharger ACUltra - CSEV-AC-SP - 40A Output - Single Port Pedestal with CMS</t>
  </si>
  <si>
    <t>MaxiCharger ACUltra - CSEV-AC-SP - 40A Output - Single Port Pedestal with CMS. Includes 3 Years of Parts Only Warranty</t>
  </si>
  <si>
    <t>csev-ac-sp-40a-wall</t>
  </si>
  <si>
    <t>MaxiCharger ACUltra - CSEV-AC-SP - 40A Output - Single Port Wall Mount</t>
  </si>
  <si>
    <t>MaxiCharger ACUltra - CSEV-AC-SP - 40A Output - Single Port Wall Mount. Includes 3 Years of Parts Only Warranty</t>
  </si>
  <si>
    <t>csev-ac-dp-80a</t>
  </si>
  <si>
    <t>MaxiCharger ACUltra - CSEV-AC-DP - 80A Output - Dual Port Pedestal with CMS</t>
  </si>
  <si>
    <t>MaxiCharger ACUltra - CSEV-AC-DP - 80A Output - Dual Port Pedestal with CMS. Includes 3 Years of Parts Only Warranty</t>
  </si>
  <si>
    <t>csev-ac-sp-80a-pedestal</t>
  </si>
  <si>
    <t>MaxiCharger ACUltra - CSEV-AC-SP - 80A Output - Single Port Pedestal with CMS</t>
  </si>
  <si>
    <t>MaxiCharger ACUltra - CSEV-AC-SP - 80A Output - Single Port Pedestal with CMS. Includes 3 Years of Parts Only Warranty</t>
  </si>
  <si>
    <t>csev-ac-sp-80a-wall</t>
  </si>
  <si>
    <t>MaxiCharger ACUltra - CSEV-AC-SP - 80A Output - Single Port Wall Mount</t>
  </si>
  <si>
    <t>MaxiCharger ACUltra - CSEV-AC-SP - 80A Output - Single Port Wall Mount. Includes 3 Years of Parts Only Warranty</t>
  </si>
  <si>
    <t>csev-ac-dp-32a</t>
  </si>
  <si>
    <t>MaxiCharger ACUltra - CSEV-AC-DP - 32A Output - Dual Port Pedestal with CMS</t>
  </si>
  <si>
    <t>MaxiCharger ACUltra - CSEV-AC-DP - 32A Output - Dual Port Pedestal with CMS. Includes 3 Years of Parts Only Warranty</t>
  </si>
  <si>
    <t>csev-ac-sp-32a-pedestal</t>
  </si>
  <si>
    <t>MaxiCharger ACUltra - CSEV-AC-SP - 32A Output - Single Port Pedestal with CMS</t>
  </si>
  <si>
    <t>MaxiCharger ACUltra - CSEV-AC-SP - 32A Output - Single Port Pedestal with CMS. Includes 3 Years of Parts Only Warranty</t>
  </si>
  <si>
    <t>csev-ac-sp-32a-wall</t>
  </si>
  <si>
    <t>MaxiCharger ACUltra - CSEV-AC-SP - 32A Output - Single Port Wall Mount</t>
  </si>
  <si>
    <t>MaxiCharger ACUltra - CSEV-AC-SP - 32A Output - Single Port Wall Mount. Includes 3 Years of Parts Only Warranty</t>
  </si>
  <si>
    <t>csev-acpro-sp-50a-wall</t>
  </si>
  <si>
    <t>MaxiCharger ACPro - CSEV-AC-SP - 50A Output - Single Port Wall Mount</t>
  </si>
  <si>
    <t>MaxiCharger ACPro - CSEV-AC-SP - 50A Output - Single Port Wall Mount. Includes 3 Years of Parts Only Warranty</t>
  </si>
  <si>
    <t>csev-acpro-pedestal</t>
  </si>
  <si>
    <t>MaxiCharger ACPro - Pedestal</t>
  </si>
  <si>
    <t>Pedestal mount accessory for MaxiCharger ACPro</t>
  </si>
  <si>
    <t>accessory</t>
  </si>
  <si>
    <t>csev-acultra-cable-mgmt</t>
  </si>
  <si>
    <t>MaxiCharger ACUltra - Cable Management</t>
  </si>
  <si>
    <t>Cable management accessory for MaxiCharger ACUltra</t>
  </si>
  <si>
    <t>csev-dcfc-60-ccs</t>
  </si>
  <si>
    <t>CSEV MaxiCharger 60kW DC Fast - CCS/CCS - POS &amp; CMS &amp; Boost Cables</t>
  </si>
  <si>
    <t>CSEV MaxiCharger 60kW DC Fast - CCS/CCS - POS &amp; CMS &amp; Boost Cables. Includes 2 Years of Parts Only Warranty</t>
  </si>
  <si>
    <t>dcfc</t>
  </si>
  <si>
    <t>csev-dcfc-120-ccs</t>
  </si>
  <si>
    <t>CSEV MaxiCharger 120kW DC Fast - CCS/CCS - POS &amp; CMS &amp; Boost Cables</t>
  </si>
  <si>
    <t>CSEV MaxiCharger 120kW DC Fast - CCS/CCS - POS &amp; CMS &amp; Boost Cables. Includes 2 Years of Parts Only Warranty</t>
  </si>
  <si>
    <t>csev-dcfc-180-ccs</t>
  </si>
  <si>
    <t>CSEV MaxiCharger 180kW DC Fast - CCS/CCS - POS &amp; CMS &amp; Boost Cables</t>
  </si>
  <si>
    <t>CSEV MaxiCharger 180kW DC Fast - CCS/CCS - POS &amp; CMS &amp; Boost Cables. Includes 2 Years of Parts Only Warranty</t>
  </si>
  <si>
    <t>csev-dcfc-240-ccs</t>
  </si>
  <si>
    <t>CSEV MaxiCharger 240kW DC Fast - CCS/CCS - POS &amp; CMS &amp; Boost Cables</t>
  </si>
  <si>
    <t>CSEV MaxiCharger 240kW DC Fast - CCS/CCS - POS &amp; CMS &amp; Boost Cables. Includes 2 Years of Parts Only Warranty</t>
  </si>
  <si>
    <t>csev-dcfc-60-nacs</t>
  </si>
  <si>
    <t>CSEV MaxiCharger 60kW DC Fast - CCS/NACS - POS &amp; CMS &amp; Boost Cables</t>
  </si>
  <si>
    <t>CSEV MaxiCharger 60kW DC Fast - CCS/NACS - POS &amp; CMS &amp; Boost Cables. Includes 2 Years of Parts Only Warranty</t>
  </si>
  <si>
    <t>csev-dcfc-120-nacs</t>
  </si>
  <si>
    <t>CSEV MaxiCharger 120kW DC Fast - CCS/NACS - POS &amp; CMS &amp; Boost Cables</t>
  </si>
  <si>
    <t>CSEV MaxiCharger 120kW DC Fast - CCS/NACS - POS &amp; CMS &amp; Boost Cables. Includes 2 Years of Parts Only Warranty</t>
  </si>
  <si>
    <t>csev-dcfc-180-nacs</t>
  </si>
  <si>
    <t>CSEV MaxiCharger 180kW DC Fast - CCS/NACS - POS &amp; CMS &amp; Boost Cables</t>
  </si>
  <si>
    <t>CSEV MaxiCharger 180kW DC Fast - CCS/NACS - POS &amp; CMS &amp; Boost Cables. Includes 2 Years of Parts Only Warranty</t>
  </si>
  <si>
    <t>csev-dcfc-240-nacs</t>
  </si>
  <si>
    <t>CSEV MaxiCharger 240kW DC Fast - CCS/NACS - POS &amp; CMS &amp; Boost Cables</t>
  </si>
  <si>
    <t>CSEV MaxiCharger 240kW DC Fast - CCS/NACS - POS &amp; CMS &amp; Boost Cables. Includes 2 Years of Parts Only Warranty</t>
  </si>
  <si>
    <t>csev-dchp-640-set4-ccs-nacs</t>
  </si>
  <si>
    <t>Set of 4 - 640kW - CSEV DCHP 320kW - CCS/CCS &amp; NACS/NACS - POS &amp; CMS &amp; Boost Cables</t>
  </si>
  <si>
    <t>Set of 4 - CSEV DCHP 320kW - CCS/CCS &amp; NACS/NACS - POS &amp; CMS &amp; Boost Cables. Includes 2 Years of Parts Only Warranty</t>
  </si>
  <si>
    <t>csev-dchp-640-set4-ccs-ccs</t>
  </si>
  <si>
    <t>Set of 4 - 640kW - CSEV DCHP 320kW - CCS/CCS &amp; CCS/CCS - POS &amp; CMS &amp; Boost Cables</t>
  </si>
  <si>
    <t>Set of 4 - CSEV DCHP 320kW - CCS/CCS &amp; CCS/CCS - POS &amp; CMS &amp; Boost Cables. Includes 2 Years of Parts Only Warranty</t>
  </si>
  <si>
    <t>csev-dchp-640-set4-nacs-nacs</t>
  </si>
  <si>
    <t>Set of 4 - 640kW - CSEV DCHP 320kW - NACS/NACS &amp; NACS/NACS - POS &amp; CMS &amp; Boost Cables</t>
  </si>
  <si>
    <t>Set of 4 - CSEV DCHP 320kW - NACS/NACS &amp; NACS/NACS - POS &amp; CMS &amp; Boost Cables. Includes 2 Years of Parts Only Warranty</t>
  </si>
  <si>
    <t>csev-dchp-320-set2-ccs-ccs</t>
  </si>
  <si>
    <t>Set of 2 - 320kW - CSEV DCHP 320kW - CCS/CCS - POS &amp; CMS &amp; Boost Cables</t>
  </si>
  <si>
    <t>Set of 2 - CSEV DCHP 320kW - CCS/CCS - POS &amp; CMS &amp; Boost Cables. Includes 2 Years of Parts Only Warranty</t>
  </si>
  <si>
    <t>csev-dchp-320-set2-ccs-nacs</t>
  </si>
  <si>
    <t>Set of 2 - 320kW - CSEV DCHP 320kW - CCS/NACS - POS &amp; CMS &amp; Boost Cables</t>
  </si>
  <si>
    <t>Set of 2 - CSEV DCHP 320kW - CCS/NACS - POS &amp; CMS &amp; Boost Cables. Includes 2 Years of Parts Only Warranty</t>
  </si>
  <si>
    <t>csev-dchp-320-set2-nacs-nacs</t>
  </si>
  <si>
    <t>Set of 2 - 320kW - CSEV DCHP 320kW - NACS/NACS - POS &amp; CMS &amp; Boost Cables</t>
  </si>
  <si>
    <t>Set of 2 - CSEV DCHP 320kW - NACS/NACS - POS &amp; CMS &amp; Boost Cables. Includes 2 Years of Parts Only Warranty</t>
  </si>
  <si>
    <t>Material Price ($)</t>
  </si>
  <si>
    <t>Labor Price ($)</t>
  </si>
  <si>
    <t>Unit</t>
  </si>
  <si>
    <t>Subgroup</t>
  </si>
  <si>
    <t>Notes</t>
  </si>
  <si>
    <t>service-200a-208v</t>
  </si>
  <si>
    <t>New 200A 208V Service [Including Panel and CIAC]</t>
  </si>
  <si>
    <t>Install new 200A Service [Including Panel and CIAC]</t>
  </si>
  <si>
    <t>each</t>
  </si>
  <si>
    <t>Panels/Switchgear - New Service</t>
  </si>
  <si>
    <t>Includes Panel + CIAC</t>
  </si>
  <si>
    <t>service-400a-208v</t>
  </si>
  <si>
    <t>New 400A 208V Service [Including Panel and CIAC]</t>
  </si>
  <si>
    <t>Install new 400A Service [Including Panel and CIAC]</t>
  </si>
  <si>
    <t>service-600a-208v</t>
  </si>
  <si>
    <t>New 600A 208V Service [Including Panel and CIAC]</t>
  </si>
  <si>
    <t>Install new 600A Service [Including Panel and CIAC]</t>
  </si>
  <si>
    <t>service-800a-208v</t>
  </si>
  <si>
    <t>New 800A 208V Service [Including Panel and CIAC]</t>
  </si>
  <si>
    <t>Install new 800A Service [Including Panel and CIAC]</t>
  </si>
  <si>
    <t>service-1000a-208v</t>
  </si>
  <si>
    <t>New 1000A 208V Service [Including Panel and CIAC]</t>
  </si>
  <si>
    <t>Install new 1000A Service [Including Panel and CIAC]</t>
  </si>
  <si>
    <t>service-1200a-208v</t>
  </si>
  <si>
    <t>New 1200A 208V Service [Including Panel and CIAC]</t>
  </si>
  <si>
    <t>Install new 1200A Service [Including Panel and CIAC]</t>
  </si>
  <si>
    <t>service-1600a-208v</t>
  </si>
  <si>
    <t>New 1600A 208V Service [Including Panel and CIAC]</t>
  </si>
  <si>
    <t>Install new 1600A Service [Including Panel and CIAC]</t>
  </si>
  <si>
    <t>service-2000a-208v</t>
  </si>
  <si>
    <t>New 2000A 208V Service [Including Panel and CIAC]</t>
  </si>
  <si>
    <t>Install new 2000A Service [Including Panel and CIAC]</t>
  </si>
  <si>
    <t>service-200a-480v</t>
  </si>
  <si>
    <t>New 200A 480V Service [Including Panel and CIAC]</t>
  </si>
  <si>
    <t>service-400a-480v</t>
  </si>
  <si>
    <t>New 400A 480V Service [Including Panel and CIAC]</t>
  </si>
  <si>
    <t>service-600a-480v</t>
  </si>
  <si>
    <t>New 600A 480V Service [Including Panel and CIAC]</t>
  </si>
  <si>
    <t>service-800a-480v</t>
  </si>
  <si>
    <t>New 800A 480V Service [Including Panel and CIAC]</t>
  </si>
  <si>
    <t>service-1000a-480v</t>
  </si>
  <si>
    <t>New 1000A 480V Service [Including Panel and CIAC]</t>
  </si>
  <si>
    <t>service-1200a-480v</t>
  </si>
  <si>
    <t>New 1200A 480V Service [Including Panel and CIAC]</t>
  </si>
  <si>
    <t>service-1600a-480v</t>
  </si>
  <si>
    <t>New 1600A 480V Service [Including Panel and CIAC]</t>
  </si>
  <si>
    <t>service-2000a-480v</t>
  </si>
  <si>
    <t>New 2000A 480V Service [Including Panel and CIAC]</t>
  </si>
  <si>
    <t>breaker-40a-2p</t>
  </si>
  <si>
    <t>40A 2P Breaker</t>
  </si>
  <si>
    <t>Install 40A breakers</t>
  </si>
  <si>
    <t>Breakers</t>
  </si>
  <si>
    <t/>
  </si>
  <si>
    <t>breaker-50a-2p</t>
  </si>
  <si>
    <t>50A 2P Breaker</t>
  </si>
  <si>
    <t>Install 50A breakers</t>
  </si>
  <si>
    <t>breaker-60a-2p</t>
  </si>
  <si>
    <t>60A 2P Breaker</t>
  </si>
  <si>
    <t>Install 60A breakers</t>
  </si>
  <si>
    <t>breaker-100a-2p</t>
  </si>
  <si>
    <t>100A 2P Breaker</t>
  </si>
  <si>
    <t>Install 100A breakers</t>
  </si>
  <si>
    <t>breaker-200a-3p</t>
  </si>
  <si>
    <t>200A 3P Breaker</t>
  </si>
  <si>
    <t>Install 200A breakers</t>
  </si>
  <si>
    <t>breaker-300a-3p</t>
  </si>
  <si>
    <t>300A 3P Breaker</t>
  </si>
  <si>
    <t>Install 300A breakers</t>
  </si>
  <si>
    <t>breaker-400a-3p</t>
  </si>
  <si>
    <t>400A 3P Breaker</t>
  </si>
  <si>
    <t>Install 400A breakers</t>
  </si>
  <si>
    <t>breaker-40a-iline</t>
  </si>
  <si>
    <t>40A I-Line Breaker (*SPECIAL ORDER*)</t>
  </si>
  <si>
    <t>*SPECIAL ORDER* Install 40A I-Line Breaker</t>
  </si>
  <si>
    <t>breaker-50a-iline</t>
  </si>
  <si>
    <t>50A I-Line Breaker (*SPECIAL ORDER*)</t>
  </si>
  <si>
    <t>*SPECIAL ORDER* Install 50A I-Line Breaker</t>
  </si>
  <si>
    <t>breaker-100a-iline</t>
  </si>
  <si>
    <t>100A I-Line Breaker (*SPECIAL ORDER*)</t>
  </si>
  <si>
    <t>*SPECIAL ORDER* Install 100A I-Line Breaker</t>
  </si>
  <si>
    <t>breaker-200a-iline</t>
  </si>
  <si>
    <t>200A I-Line Breaker (*SPECIAL ORDER*)</t>
  </si>
  <si>
    <t>*SPECIAL ORDER* Install 200A I-Line Breaker</t>
  </si>
  <si>
    <t>breaker-400a-iline</t>
  </si>
  <si>
    <t>400A I-Line Breaker (*SPECIAL ORDER*)</t>
  </si>
  <si>
    <t>*SPECIAL ORDER* Install 400A I-Line Breaker</t>
  </si>
  <si>
    <t>panel-100a</t>
  </si>
  <si>
    <t>100A Panel Installation</t>
  </si>
  <si>
    <t>Install a 100A panel</t>
  </si>
  <si>
    <t>Panels</t>
  </si>
  <si>
    <t>panel-200a</t>
  </si>
  <si>
    <t>200A Panel Installation</t>
  </si>
  <si>
    <t>Install a 200A panel</t>
  </si>
  <si>
    <t>panel-400a</t>
  </si>
  <si>
    <t>400A Panel Installation</t>
  </si>
  <si>
    <t>Install a 400A panel</t>
  </si>
  <si>
    <t>panel-600a</t>
  </si>
  <si>
    <t>600A Panel Installation</t>
  </si>
  <si>
    <t>Install a 600A panel</t>
  </si>
  <si>
    <t>panel-800a</t>
  </si>
  <si>
    <t>800A Panel Installation</t>
  </si>
  <si>
    <t>Install a 800A panel</t>
  </si>
  <si>
    <t>transformer-75kva</t>
  </si>
  <si>
    <t>75kVa Transformer Installation</t>
  </si>
  <si>
    <t>Install a 75kVA Transformer</t>
  </si>
  <si>
    <t>Transformers</t>
  </si>
  <si>
    <t>transformer-150kva</t>
  </si>
  <si>
    <t>150kVa Transformer Installation</t>
  </si>
  <si>
    <t>Install a 150kVA Transformer</t>
  </si>
  <si>
    <t>transformer-pad</t>
  </si>
  <si>
    <t>Transformer Pad</t>
  </si>
  <si>
    <t>Install Pad / Vault for Transformer</t>
  </si>
  <si>
    <t>Includes Pad/Vault</t>
  </si>
  <si>
    <t>conduit-40a-pvc-2in</t>
  </si>
  <si>
    <t>40A (Up to 2 Circuits) PVC Run 2"</t>
  </si>
  <si>
    <t>Install 2" PVC conduit</t>
  </si>
  <si>
    <t>ft</t>
  </si>
  <si>
    <t>Conduit</t>
  </si>
  <si>
    <t>conduit-40a-emt-2in</t>
  </si>
  <si>
    <t>40A (Up to 2 Circuits) EMT Run 2"</t>
  </si>
  <si>
    <t>Install 2" EMT conduit</t>
  </si>
  <si>
    <t>conduit-50a-pvc-2in</t>
  </si>
  <si>
    <t>50A (Up to 2 Circuits) PVC Run 2"</t>
  </si>
  <si>
    <t>conduit-50a-emt-2in</t>
  </si>
  <si>
    <t>50A (Up to 2 Circuits) EMT Run 2"</t>
  </si>
  <si>
    <t>conduit-60a-pvc-2in</t>
  </si>
  <si>
    <t>60A (Up to 2 Circuits) PVC Run 2"</t>
  </si>
  <si>
    <t>conduit-60a-emt-2in</t>
  </si>
  <si>
    <t>60A (Up to 2 Circuits) EMT Run 2"</t>
  </si>
  <si>
    <t>conduit-100a-pvc-2in</t>
  </si>
  <si>
    <t>100A (Up to 2 Circuits) PVC Run 2"</t>
  </si>
  <si>
    <t>conduit-100a-emt-2in</t>
  </si>
  <si>
    <t>100A (Up to 2 Circuits) EMT Run 2"</t>
  </si>
  <si>
    <t>conduit-200a-pvc-3in</t>
  </si>
  <si>
    <t>200A (Up to 2 Circuits) PVC Run 3"</t>
  </si>
  <si>
    <t>Install 3" PVC conduit</t>
  </si>
  <si>
    <t>conduit-200a-emt-3in</t>
  </si>
  <si>
    <t>200A (Up to 2 Circuits) EMT Run 3"</t>
  </si>
  <si>
    <t>Install 3" EMT conduit</t>
  </si>
  <si>
    <t>conduit-pvc-3in</t>
  </si>
  <si>
    <t>Install 3" PVC Conduit</t>
  </si>
  <si>
    <t>conduit-pvc-4in</t>
  </si>
  <si>
    <t>Install 4" PVC Conduit</t>
  </si>
  <si>
    <t>Install 4" PVC conduit</t>
  </si>
  <si>
    <t>conduit-fittings</t>
  </si>
  <si>
    <t>Conduit Fittings - Per Conduit Run</t>
  </si>
  <si>
    <t>Provide and install conduit fittings</t>
  </si>
  <si>
    <t>circuit</t>
  </si>
  <si>
    <t>hand-hole</t>
  </si>
  <si>
    <t>Hand Hole / Quazite Box</t>
  </si>
  <si>
    <t>Install hand hole in grass, 1 per 200'</t>
  </si>
  <si>
    <t>1 per 200'</t>
  </si>
  <si>
    <t>wire-40a</t>
  </si>
  <si>
    <t>40A Wire Run (1 Circuit)</t>
  </si>
  <si>
    <t>Install 40A wire through conduit</t>
  </si>
  <si>
    <t>Cables</t>
  </si>
  <si>
    <t>wire-50a</t>
  </si>
  <si>
    <t>50A Wire Run (1 Circuit)</t>
  </si>
  <si>
    <t>Install 50A wire through conduit</t>
  </si>
  <si>
    <t>wire-60a</t>
  </si>
  <si>
    <t>60A Wire Run (1 Circuit)</t>
  </si>
  <si>
    <t>Install 60A wire through conduit</t>
  </si>
  <si>
    <t>wire-100a</t>
  </si>
  <si>
    <t>100A Wire Run (1 Circuit)</t>
  </si>
  <si>
    <t>Install 100A wire through conduit</t>
  </si>
  <si>
    <t>wire-200a</t>
  </si>
  <si>
    <t>200A Wire Run (1 Circuit)</t>
  </si>
  <si>
    <t>Install 200A wire through conduit</t>
  </si>
  <si>
    <t>wire-300a</t>
  </si>
  <si>
    <t>300A Wire Run (1 Circuit)</t>
  </si>
  <si>
    <t>Install 300A wire through conduit</t>
  </si>
  <si>
    <t>wire-400a</t>
  </si>
  <si>
    <t>400A Wire Run (1 Circuit)</t>
  </si>
  <si>
    <t>Install 400A wire through conduit</t>
  </si>
  <si>
    <t>wire-aluminum-200a</t>
  </si>
  <si>
    <t>Aluminum Wire - 200A Run</t>
  </si>
  <si>
    <t>Install Aluminum Cabling</t>
  </si>
  <si>
    <t>wire-aluminum-400a</t>
  </si>
  <si>
    <t>Aluminum Wire - 400A Run</t>
  </si>
  <si>
    <t>mount-station-l2</t>
  </si>
  <si>
    <t>Mount Station (Level 2)</t>
  </si>
  <si>
    <t>Mount L2 EVSE equipment to corresponding base</t>
  </si>
  <si>
    <t>mount-station-l3</t>
  </si>
  <si>
    <t>Mount Station (Level 3)</t>
  </si>
  <si>
    <t>Mount L3 EVSE equipment to corresponding base</t>
  </si>
  <si>
    <t>terminate-station</t>
  </si>
  <si>
    <t>Terminate Station</t>
  </si>
  <si>
    <t>Terminate EVSE equipment</t>
  </si>
  <si>
    <t>activation</t>
  </si>
  <si>
    <t>Activation</t>
  </si>
  <si>
    <t>Activate EVSE equipment after installation</t>
  </si>
  <si>
    <t>trenching-grass</t>
  </si>
  <si>
    <t>Trenching and Repair - Grass</t>
  </si>
  <si>
    <t>Trench and repair in grass (feet)</t>
  </si>
  <si>
    <t>Trenching</t>
  </si>
  <si>
    <t>trenching-asphalt</t>
  </si>
  <si>
    <t>Trenching and Repair - Asphalt</t>
  </si>
  <si>
    <t>Trench and repair in asphalt (feet)</t>
  </si>
  <si>
    <t>trenching-concrete</t>
  </si>
  <si>
    <t>Trenching and Repair - Concrete</t>
  </si>
  <si>
    <t>Trench and repair in concrete (feet)</t>
  </si>
  <si>
    <t>underground-boring</t>
  </si>
  <si>
    <t>Underground Boring</t>
  </si>
  <si>
    <t>concrete-l2-footing</t>
  </si>
  <si>
    <t>Level 2 EVSE - Concrete Footing</t>
  </si>
  <si>
    <t>Install concrete pads for mounting of EVSE equipment</t>
  </si>
  <si>
    <t>Civil - Bases</t>
  </si>
  <si>
    <t>concrete-dcfc-footing</t>
  </si>
  <si>
    <t>DCFC EVSE - Concrete Footing</t>
  </si>
  <si>
    <t>Install DCFC concrete pads for mounting of EVSE equipment</t>
  </si>
  <si>
    <t>concrete-service-pad</t>
  </si>
  <si>
    <t>Service Pad - Concrete Base</t>
  </si>
  <si>
    <t>Install concrete pads for mounting of Service Equipment</t>
  </si>
  <si>
    <t>bollard-bolt-on</t>
  </si>
  <si>
    <t>Protective Bollards (Bolt On)</t>
  </si>
  <si>
    <t>Install bolt-on protective bollards where necessary</t>
  </si>
  <si>
    <t>bollard-4in-steel</t>
  </si>
  <si>
    <t>Protective 4" Steel Bollards (Poured Concrete)</t>
  </si>
  <si>
    <t>Install 4" Steel concrete poured protective bollards where necessary</t>
  </si>
  <si>
    <t>bollard-6in-steel</t>
  </si>
  <si>
    <t>Protective 6" Steel Bollards (Poured Concrete)</t>
  </si>
  <si>
    <t>Install 6" Steel concrete poured protective bollards where necessary</t>
  </si>
  <si>
    <t>tire-stop</t>
  </si>
  <si>
    <t>Tire Stop</t>
  </si>
  <si>
    <t>Install tire stop where necessary</t>
  </si>
  <si>
    <t>permit-fee</t>
  </si>
  <si>
    <t>Permit Fee</t>
  </si>
  <si>
    <t>Apply for permits for this installation</t>
  </si>
  <si>
    <t>project</t>
  </si>
  <si>
    <t>Permits</t>
  </si>
  <si>
    <t>design-fee</t>
  </si>
  <si>
    <t>Design Fee</t>
  </si>
  <si>
    <t>Manage the design work necessary for this project</t>
  </si>
  <si>
    <t>Design</t>
  </si>
  <si>
    <t>project-management</t>
  </si>
  <si>
    <t>Project Management Fee</t>
  </si>
  <si>
    <t>Manage project from initial site visit through installation</t>
  </si>
  <si>
    <t>engineering-site</t>
  </si>
  <si>
    <t>Stamped Engineering Plans - Site Plans</t>
  </si>
  <si>
    <t>Generate stamped engineering site plans</t>
  </si>
  <si>
    <t>engineering-full</t>
  </si>
  <si>
    <t>Stamped Engineering Plans - Site Plans &amp; Electrical</t>
  </si>
  <si>
    <t>Generate stamped engineering site plans &amp; electrical plans</t>
  </si>
  <si>
    <t>ada-striping</t>
  </si>
  <si>
    <t>ADA Access Aisle Striping</t>
  </si>
  <si>
    <t>ADA access aisle striping</t>
  </si>
  <si>
    <t>Striping</t>
  </si>
  <si>
    <t>striping-spot</t>
  </si>
  <si>
    <t>Striping (per spot)</t>
  </si>
  <si>
    <t>Parking spot striping</t>
  </si>
  <si>
    <t>ev-stencil</t>
  </si>
  <si>
    <t>EV Charging Stencil</t>
  </si>
  <si>
    <t>EV charging stencil</t>
  </si>
  <si>
    <t>calc1-ignore</t>
  </si>
  <si>
    <t>calc2-ignore</t>
  </si>
  <si>
    <t>calc3-ignore</t>
  </si>
  <si>
    <t>Above NY Pricing</t>
  </si>
  <si>
    <t>MaxiCharger ACElite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</si>
</sst>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D2D2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3" fillId="3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4" fontId="2" fillId="0" borderId="0" xfId="0" applyNumberFormat="1" applyFont="1"/>
    <xf numFmtId="9" fontId="5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CBC88"/>
  </sheetPr>
  <dimension ref="A1:X32"/>
  <sheetViews>
    <sheetView tabSelected="1" zoomScale="85" zoomScaleNormal="85" workbookViewId="0">
      <pane ySplit="1" topLeftCell="A2" activePane="bottomLeft" state="frozen"/>
      <selection pane="bottomLeft" activeCell="C35" sqref="C35"/>
    </sheetView>
  </sheetViews>
  <sheetFormatPr defaultRowHeight="15" x14ac:dyDescent="0.25"/>
  <cols>
    <col min="1" max="1" width="30" customWidth="1"/>
    <col min="2" max="2" width="60" customWidth="1"/>
    <col min="3" max="3" width="70" customWidth="1"/>
    <col min="4" max="6" width="15" customWidth="1"/>
    <col min="7" max="7" width="22" customWidth="1"/>
    <col min="8" max="13" width="20" customWidth="1"/>
    <col min="14" max="14" width="15" customWidth="1"/>
    <col min="15" max="15" width="17" customWidth="1"/>
    <col min="16" max="18" width="15" customWidth="1"/>
    <col min="19" max="23" width="24" customWidth="1"/>
  </cols>
  <sheetData>
    <row r="1" spans="1:24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365</v>
      </c>
      <c r="S1" s="1" t="s">
        <v>17</v>
      </c>
      <c r="T1" s="5" t="s">
        <v>366</v>
      </c>
      <c r="U1" s="1" t="s">
        <v>18</v>
      </c>
      <c r="V1" s="5" t="s">
        <v>367</v>
      </c>
      <c r="W1" s="1" t="s">
        <v>19</v>
      </c>
      <c r="X1" s="4">
        <v>0.1</v>
      </c>
    </row>
    <row r="2" spans="1:24" x14ac:dyDescent="0.25">
      <c r="A2" t="s">
        <v>62</v>
      </c>
      <c r="B2" t="s">
        <v>63</v>
      </c>
      <c r="C2" t="s">
        <v>64</v>
      </c>
      <c r="D2" t="s">
        <v>23</v>
      </c>
      <c r="E2" s="2">
        <v>1000</v>
      </c>
      <c r="F2" s="2">
        <v>500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>
        <v>0</v>
      </c>
      <c r="P2" t="s">
        <v>65</v>
      </c>
      <c r="Q2" t="s">
        <v>25</v>
      </c>
      <c r="R2" s="2">
        <v>1000</v>
      </c>
      <c r="S2" s="2">
        <f t="shared" ref="S2:S32" si="0">R2*(1+$X$1)</f>
        <v>1100</v>
      </c>
      <c r="T2" s="2">
        <v>750</v>
      </c>
      <c r="U2" s="2">
        <f t="shared" ref="U2:U32" si="1">T2*(1+$X$1)</f>
        <v>825.00000000000011</v>
      </c>
      <c r="V2" s="2">
        <v>1250</v>
      </c>
      <c r="W2" s="2">
        <f t="shared" ref="W2:W32" si="2">V2*(1+$X$1)</f>
        <v>1375</v>
      </c>
    </row>
    <row r="3" spans="1:24" x14ac:dyDescent="0.25">
      <c r="A3" t="s">
        <v>66</v>
      </c>
      <c r="B3" t="s">
        <v>67</v>
      </c>
      <c r="C3" t="s">
        <v>68</v>
      </c>
      <c r="D3" t="s">
        <v>23</v>
      </c>
      <c r="E3" s="2">
        <v>1000</v>
      </c>
      <c r="F3" s="2">
        <v>500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>
        <v>0</v>
      </c>
      <c r="P3" t="s">
        <v>65</v>
      </c>
      <c r="Q3" t="s">
        <v>25</v>
      </c>
      <c r="R3" s="2">
        <v>1000</v>
      </c>
      <c r="S3" s="2">
        <f t="shared" si="0"/>
        <v>1100</v>
      </c>
      <c r="T3" s="2">
        <v>750</v>
      </c>
      <c r="U3" s="2">
        <f t="shared" si="1"/>
        <v>825.00000000000011</v>
      </c>
      <c r="V3" s="2">
        <v>1250</v>
      </c>
      <c r="W3" s="2">
        <f t="shared" si="2"/>
        <v>1375</v>
      </c>
    </row>
    <row r="4" spans="1:24" x14ac:dyDescent="0.25">
      <c r="A4" t="s">
        <v>26</v>
      </c>
      <c r="B4" t="s">
        <v>27</v>
      </c>
      <c r="C4" t="s">
        <v>28</v>
      </c>
      <c r="D4" t="s">
        <v>23</v>
      </c>
      <c r="E4" s="2">
        <v>4423</v>
      </c>
      <c r="F4" s="2">
        <v>1580</v>
      </c>
      <c r="G4" s="2">
        <v>250</v>
      </c>
      <c r="H4" s="2">
        <v>250</v>
      </c>
      <c r="I4" s="2">
        <v>750</v>
      </c>
      <c r="J4" s="2">
        <v>1250</v>
      </c>
      <c r="K4" s="2">
        <v>150</v>
      </c>
      <c r="L4" s="2">
        <v>450</v>
      </c>
      <c r="M4" s="2">
        <v>750</v>
      </c>
      <c r="N4" s="2">
        <v>350</v>
      </c>
      <c r="O4">
        <v>1</v>
      </c>
      <c r="P4" t="s">
        <v>24</v>
      </c>
      <c r="Q4" t="s">
        <v>25</v>
      </c>
      <c r="R4" s="2">
        <f>700*1.25</f>
        <v>875</v>
      </c>
      <c r="S4" s="6">
        <f>ROUNDUP(R4*(1+$X$1),-2)</f>
        <v>1000</v>
      </c>
      <c r="T4" s="2">
        <f>500*1.25</f>
        <v>625</v>
      </c>
      <c r="U4" s="6">
        <f>ROUNDUP(T4*(1+$X$1),-2)</f>
        <v>700</v>
      </c>
      <c r="V4" s="2">
        <f>900*1.25</f>
        <v>1125</v>
      </c>
      <c r="W4" s="6">
        <f>ROUNDUP(V4*(1+$X$1),-2)</f>
        <v>1300</v>
      </c>
    </row>
    <row r="5" spans="1:24" x14ac:dyDescent="0.25">
      <c r="A5" t="s">
        <v>29</v>
      </c>
      <c r="B5" t="s">
        <v>30</v>
      </c>
      <c r="C5" t="s">
        <v>31</v>
      </c>
      <c r="D5" t="s">
        <v>23</v>
      </c>
      <c r="E5" s="2">
        <v>3173</v>
      </c>
      <c r="F5" s="2">
        <v>900</v>
      </c>
      <c r="G5" s="2">
        <v>250</v>
      </c>
      <c r="H5" s="2">
        <v>250</v>
      </c>
      <c r="I5" s="2">
        <v>750</v>
      </c>
      <c r="J5" s="2">
        <v>1250</v>
      </c>
      <c r="K5" s="2">
        <v>150</v>
      </c>
      <c r="L5" s="2">
        <v>450</v>
      </c>
      <c r="M5" s="2">
        <v>750</v>
      </c>
      <c r="N5" s="2">
        <v>350</v>
      </c>
      <c r="O5">
        <v>1</v>
      </c>
      <c r="P5" t="s">
        <v>24</v>
      </c>
      <c r="Q5" t="s">
        <v>25</v>
      </c>
      <c r="R5" s="2">
        <f>700*1.25</f>
        <v>875</v>
      </c>
      <c r="S5" s="6">
        <f>ROUNDUP(R5*(1+$X$1),-2)</f>
        <v>1000</v>
      </c>
      <c r="T5" s="2">
        <f>500*1.25</f>
        <v>625</v>
      </c>
      <c r="U5" s="6">
        <f>ROUNDUP(T5*(1+$X$1),-2)</f>
        <v>700</v>
      </c>
      <c r="V5" s="2">
        <f>900*1.25</f>
        <v>1125</v>
      </c>
      <c r="W5" s="6">
        <f>ROUNDUP(V5*(1+$X$1),-2)</f>
        <v>1300</v>
      </c>
    </row>
    <row r="6" spans="1:24" x14ac:dyDescent="0.25">
      <c r="A6" t="s">
        <v>35</v>
      </c>
      <c r="B6" t="s">
        <v>36</v>
      </c>
      <c r="C6" t="s">
        <v>37</v>
      </c>
      <c r="D6" t="s">
        <v>23</v>
      </c>
      <c r="E6" s="2">
        <v>4423</v>
      </c>
      <c r="F6" s="2">
        <v>1580</v>
      </c>
      <c r="G6" s="2">
        <v>250</v>
      </c>
      <c r="H6" s="2">
        <v>250</v>
      </c>
      <c r="I6" s="2">
        <v>750</v>
      </c>
      <c r="J6" s="2">
        <v>1250</v>
      </c>
      <c r="K6" s="2">
        <v>150</v>
      </c>
      <c r="L6" s="2">
        <v>450</v>
      </c>
      <c r="M6" s="2">
        <v>750</v>
      </c>
      <c r="N6" s="2">
        <v>350</v>
      </c>
      <c r="O6">
        <v>1</v>
      </c>
      <c r="P6" t="s">
        <v>24</v>
      </c>
      <c r="Q6" t="s">
        <v>25</v>
      </c>
      <c r="R6" s="2">
        <f t="shared" ref="R6:R12" si="3">700*1.25</f>
        <v>875</v>
      </c>
      <c r="S6" s="6">
        <f t="shared" ref="S6:S12" si="4">ROUNDUP(R6*(1+$X$1),-2)</f>
        <v>1000</v>
      </c>
      <c r="T6" s="2">
        <f t="shared" ref="T6:T12" si="5">500*1.25</f>
        <v>625</v>
      </c>
      <c r="U6" s="6">
        <f t="shared" ref="U6:U12" si="6">ROUNDUP(T6*(1+$X$1),-2)</f>
        <v>700</v>
      </c>
      <c r="V6" s="2">
        <f t="shared" ref="V6:V12" si="7">900*1.25</f>
        <v>1125</v>
      </c>
      <c r="W6" s="6">
        <f t="shared" ref="W6:W12" si="8">ROUNDUP(V6*(1+$X$1),-2)</f>
        <v>1300</v>
      </c>
    </row>
    <row r="7" spans="1:24" x14ac:dyDescent="0.25">
      <c r="A7" t="s">
        <v>38</v>
      </c>
      <c r="B7" t="s">
        <v>39</v>
      </c>
      <c r="C7" t="s">
        <v>40</v>
      </c>
      <c r="D7" t="s">
        <v>23</v>
      </c>
      <c r="E7" s="2">
        <v>3173</v>
      </c>
      <c r="F7" s="2">
        <v>900</v>
      </c>
      <c r="G7" s="2">
        <v>250</v>
      </c>
      <c r="H7" s="2">
        <v>250</v>
      </c>
      <c r="I7" s="2">
        <v>750</v>
      </c>
      <c r="J7" s="2">
        <v>1250</v>
      </c>
      <c r="K7" s="2">
        <v>150</v>
      </c>
      <c r="L7" s="2">
        <v>450</v>
      </c>
      <c r="M7" s="2">
        <v>750</v>
      </c>
      <c r="N7" s="2">
        <v>350</v>
      </c>
      <c r="O7">
        <v>1</v>
      </c>
      <c r="P7" t="s">
        <v>24</v>
      </c>
      <c r="Q7" t="s">
        <v>25</v>
      </c>
      <c r="R7" s="2">
        <f t="shared" si="3"/>
        <v>875</v>
      </c>
      <c r="S7" s="6">
        <f t="shared" si="4"/>
        <v>1000</v>
      </c>
      <c r="T7" s="2">
        <f t="shared" si="5"/>
        <v>625</v>
      </c>
      <c r="U7" s="6">
        <f t="shared" si="6"/>
        <v>700</v>
      </c>
      <c r="V7" s="2">
        <f t="shared" si="7"/>
        <v>1125</v>
      </c>
      <c r="W7" s="6">
        <f t="shared" si="8"/>
        <v>1300</v>
      </c>
    </row>
    <row r="8" spans="1:24" x14ac:dyDescent="0.25">
      <c r="A8" t="s">
        <v>44</v>
      </c>
      <c r="B8" t="s">
        <v>45</v>
      </c>
      <c r="C8" t="s">
        <v>46</v>
      </c>
      <c r="D8" t="s">
        <v>23</v>
      </c>
      <c r="E8" s="2">
        <v>4423</v>
      </c>
      <c r="F8" s="2">
        <v>1580</v>
      </c>
      <c r="G8" s="2">
        <v>250</v>
      </c>
      <c r="H8" s="2">
        <v>250</v>
      </c>
      <c r="I8" s="2">
        <v>750</v>
      </c>
      <c r="J8" s="2">
        <v>1250</v>
      </c>
      <c r="K8" s="2">
        <v>150</v>
      </c>
      <c r="L8" s="2">
        <v>450</v>
      </c>
      <c r="M8" s="2">
        <v>750</v>
      </c>
      <c r="N8" s="2">
        <v>350</v>
      </c>
      <c r="O8">
        <v>1</v>
      </c>
      <c r="P8" t="s">
        <v>24</v>
      </c>
      <c r="Q8" t="s">
        <v>25</v>
      </c>
      <c r="R8" s="2">
        <f t="shared" si="3"/>
        <v>875</v>
      </c>
      <c r="S8" s="6">
        <f t="shared" si="4"/>
        <v>1000</v>
      </c>
      <c r="T8" s="2">
        <f t="shared" si="5"/>
        <v>625</v>
      </c>
      <c r="U8" s="6">
        <f t="shared" si="6"/>
        <v>700</v>
      </c>
      <c r="V8" s="2">
        <f t="shared" si="7"/>
        <v>1125</v>
      </c>
      <c r="W8" s="6">
        <f t="shared" si="8"/>
        <v>1300</v>
      </c>
    </row>
    <row r="9" spans="1:24" x14ac:dyDescent="0.25">
      <c r="A9" t="s">
        <v>47</v>
      </c>
      <c r="B9" t="s">
        <v>48</v>
      </c>
      <c r="C9" t="s">
        <v>49</v>
      </c>
      <c r="D9" t="s">
        <v>23</v>
      </c>
      <c r="E9" s="2">
        <v>3173</v>
      </c>
      <c r="F9" s="2">
        <v>900</v>
      </c>
      <c r="G9" s="2">
        <v>250</v>
      </c>
      <c r="H9" s="2">
        <v>250</v>
      </c>
      <c r="I9" s="2">
        <v>750</v>
      </c>
      <c r="J9" s="2">
        <v>1250</v>
      </c>
      <c r="K9" s="2">
        <v>150</v>
      </c>
      <c r="L9" s="2">
        <v>450</v>
      </c>
      <c r="M9" s="2">
        <v>750</v>
      </c>
      <c r="N9" s="2">
        <v>350</v>
      </c>
      <c r="O9">
        <v>1</v>
      </c>
      <c r="P9" t="s">
        <v>24</v>
      </c>
      <c r="Q9" t="s">
        <v>25</v>
      </c>
      <c r="R9" s="2">
        <f t="shared" si="3"/>
        <v>875</v>
      </c>
      <c r="S9" s="6">
        <f t="shared" si="4"/>
        <v>1000</v>
      </c>
      <c r="T9" s="2">
        <f t="shared" si="5"/>
        <v>625</v>
      </c>
      <c r="U9" s="6">
        <f t="shared" si="6"/>
        <v>700</v>
      </c>
      <c r="V9" s="2">
        <f t="shared" si="7"/>
        <v>1125</v>
      </c>
      <c r="W9" s="6">
        <f t="shared" si="8"/>
        <v>1300</v>
      </c>
    </row>
    <row r="10" spans="1:24" x14ac:dyDescent="0.25">
      <c r="A10" t="s">
        <v>53</v>
      </c>
      <c r="B10" t="s">
        <v>54</v>
      </c>
      <c r="C10" t="s">
        <v>55</v>
      </c>
      <c r="D10" t="s">
        <v>23</v>
      </c>
      <c r="E10" s="2">
        <v>4423</v>
      </c>
      <c r="F10" s="2">
        <v>1580</v>
      </c>
      <c r="G10" s="2">
        <v>250</v>
      </c>
      <c r="H10" s="2">
        <v>250</v>
      </c>
      <c r="I10" s="2">
        <v>750</v>
      </c>
      <c r="J10" s="2">
        <v>1250</v>
      </c>
      <c r="K10" s="2">
        <v>150</v>
      </c>
      <c r="L10" s="2">
        <v>450</v>
      </c>
      <c r="M10" s="2">
        <v>750</v>
      </c>
      <c r="N10" s="2">
        <v>350</v>
      </c>
      <c r="O10">
        <v>1</v>
      </c>
      <c r="P10" t="s">
        <v>24</v>
      </c>
      <c r="Q10" t="s">
        <v>25</v>
      </c>
      <c r="R10" s="2">
        <f t="shared" si="3"/>
        <v>875</v>
      </c>
      <c r="S10" s="6">
        <f t="shared" si="4"/>
        <v>1000</v>
      </c>
      <c r="T10" s="2">
        <f t="shared" si="5"/>
        <v>625</v>
      </c>
      <c r="U10" s="6">
        <f t="shared" si="6"/>
        <v>700</v>
      </c>
      <c r="V10" s="2">
        <f t="shared" si="7"/>
        <v>1125</v>
      </c>
      <c r="W10" s="6">
        <f t="shared" si="8"/>
        <v>1300</v>
      </c>
    </row>
    <row r="11" spans="1:24" x14ac:dyDescent="0.25">
      <c r="A11" t="s">
        <v>56</v>
      </c>
      <c r="B11" t="s">
        <v>57</v>
      </c>
      <c r="C11" t="s">
        <v>58</v>
      </c>
      <c r="D11" t="s">
        <v>23</v>
      </c>
      <c r="E11" s="2">
        <v>3173</v>
      </c>
      <c r="F11" s="2">
        <v>900</v>
      </c>
      <c r="G11" s="2">
        <v>250</v>
      </c>
      <c r="H11" s="2">
        <v>250</v>
      </c>
      <c r="I11" s="2">
        <v>750</v>
      </c>
      <c r="J11" s="2">
        <v>1250</v>
      </c>
      <c r="K11" s="2">
        <v>150</v>
      </c>
      <c r="L11" s="2">
        <v>450</v>
      </c>
      <c r="M11" s="2">
        <v>750</v>
      </c>
      <c r="N11" s="2">
        <v>350</v>
      </c>
      <c r="O11">
        <v>1</v>
      </c>
      <c r="P11" t="s">
        <v>24</v>
      </c>
      <c r="Q11" t="s">
        <v>25</v>
      </c>
      <c r="R11" s="2">
        <f t="shared" si="3"/>
        <v>875</v>
      </c>
      <c r="S11" s="6">
        <f t="shared" si="4"/>
        <v>1000</v>
      </c>
      <c r="T11" s="2">
        <f t="shared" si="5"/>
        <v>625</v>
      </c>
      <c r="U11" s="6">
        <f t="shared" si="6"/>
        <v>700</v>
      </c>
      <c r="V11" s="2">
        <f t="shared" si="7"/>
        <v>1125</v>
      </c>
      <c r="W11" s="6">
        <f t="shared" si="8"/>
        <v>1300</v>
      </c>
    </row>
    <row r="12" spans="1:24" x14ac:dyDescent="0.25">
      <c r="A12" t="s">
        <v>59</v>
      </c>
      <c r="B12" t="s">
        <v>60</v>
      </c>
      <c r="C12" t="s">
        <v>61</v>
      </c>
      <c r="D12" t="s">
        <v>23</v>
      </c>
      <c r="E12" s="2">
        <v>2500</v>
      </c>
      <c r="F12" s="2">
        <v>750</v>
      </c>
      <c r="G12" s="2">
        <v>250</v>
      </c>
      <c r="H12" s="2">
        <v>250</v>
      </c>
      <c r="I12" s="2">
        <v>750</v>
      </c>
      <c r="J12" s="2">
        <v>1250</v>
      </c>
      <c r="K12" s="2">
        <v>150</v>
      </c>
      <c r="L12" s="2">
        <v>450</v>
      </c>
      <c r="M12" s="2">
        <v>750</v>
      </c>
      <c r="N12" s="2">
        <v>175</v>
      </c>
      <c r="O12">
        <v>1</v>
      </c>
      <c r="P12" t="s">
        <v>24</v>
      </c>
      <c r="Q12" t="s">
        <v>25</v>
      </c>
      <c r="R12" s="2">
        <f t="shared" si="3"/>
        <v>875</v>
      </c>
      <c r="S12" s="6">
        <f t="shared" si="4"/>
        <v>1000</v>
      </c>
      <c r="T12" s="2">
        <f t="shared" si="5"/>
        <v>625</v>
      </c>
      <c r="U12" s="6">
        <f t="shared" si="6"/>
        <v>700</v>
      </c>
      <c r="V12" s="2">
        <f t="shared" si="7"/>
        <v>1125</v>
      </c>
      <c r="W12" s="6">
        <f t="shared" si="8"/>
        <v>1300</v>
      </c>
    </row>
    <row r="13" spans="1:24" x14ac:dyDescent="0.25">
      <c r="A13" t="s">
        <v>20</v>
      </c>
      <c r="B13" t="s">
        <v>21</v>
      </c>
      <c r="C13" t="s">
        <v>22</v>
      </c>
      <c r="D13" t="s">
        <v>23</v>
      </c>
      <c r="E13" s="2">
        <v>5323</v>
      </c>
      <c r="F13" s="2">
        <v>2750</v>
      </c>
      <c r="G13" s="2">
        <v>500</v>
      </c>
      <c r="H13" s="2">
        <v>500</v>
      </c>
      <c r="I13" s="2">
        <v>1500</v>
      </c>
      <c r="J13" s="2">
        <v>2500</v>
      </c>
      <c r="K13" s="2">
        <v>300</v>
      </c>
      <c r="L13" s="2">
        <v>900</v>
      </c>
      <c r="M13" s="2">
        <v>1500</v>
      </c>
      <c r="N13" s="2">
        <v>350</v>
      </c>
      <c r="O13">
        <v>2</v>
      </c>
      <c r="P13" t="s">
        <v>24</v>
      </c>
      <c r="Q13" t="s">
        <v>25</v>
      </c>
      <c r="R13" s="2">
        <f>1400*1.25</f>
        <v>1750</v>
      </c>
      <c r="S13" s="2">
        <f>R13*(1+$X$1)</f>
        <v>1925.0000000000002</v>
      </c>
      <c r="T13" s="2">
        <f>1000*1.25</f>
        <v>1250</v>
      </c>
      <c r="U13" s="2">
        <f t="shared" si="1"/>
        <v>1375</v>
      </c>
      <c r="V13" s="2">
        <f>1800*1.25</f>
        <v>2250</v>
      </c>
      <c r="W13" s="2">
        <f t="shared" si="2"/>
        <v>2475</v>
      </c>
    </row>
    <row r="14" spans="1:24" x14ac:dyDescent="0.25">
      <c r="A14" t="s">
        <v>32</v>
      </c>
      <c r="B14" t="s">
        <v>33</v>
      </c>
      <c r="C14" t="s">
        <v>34</v>
      </c>
      <c r="D14" t="s">
        <v>23</v>
      </c>
      <c r="E14" s="2">
        <v>5323</v>
      </c>
      <c r="F14" s="2">
        <v>2750</v>
      </c>
      <c r="G14" s="2">
        <v>500</v>
      </c>
      <c r="H14" s="2">
        <v>500</v>
      </c>
      <c r="I14" s="2">
        <v>1500</v>
      </c>
      <c r="J14" s="2">
        <v>2500</v>
      </c>
      <c r="K14" s="2">
        <v>300</v>
      </c>
      <c r="L14" s="2">
        <v>900</v>
      </c>
      <c r="M14" s="2">
        <v>1500</v>
      </c>
      <c r="N14" s="2">
        <v>350</v>
      </c>
      <c r="O14">
        <v>2</v>
      </c>
      <c r="P14" t="s">
        <v>24</v>
      </c>
      <c r="Q14" t="s">
        <v>25</v>
      </c>
      <c r="R14" s="2">
        <f t="shared" ref="R14:R16" si="9">1400*1.25</f>
        <v>1750</v>
      </c>
      <c r="S14" s="2">
        <f t="shared" si="0"/>
        <v>1925.0000000000002</v>
      </c>
      <c r="T14" s="2">
        <f t="shared" ref="T14:T16" si="10">1000*1.25</f>
        <v>1250</v>
      </c>
      <c r="U14" s="2">
        <f t="shared" si="1"/>
        <v>1375</v>
      </c>
      <c r="V14" s="2">
        <f t="shared" ref="V14:V16" si="11">1800*1.25</f>
        <v>2250</v>
      </c>
      <c r="W14" s="2">
        <f t="shared" si="2"/>
        <v>2475</v>
      </c>
    </row>
    <row r="15" spans="1:24" x14ac:dyDescent="0.25">
      <c r="A15" t="s">
        <v>41</v>
      </c>
      <c r="B15" t="s">
        <v>42</v>
      </c>
      <c r="C15" t="s">
        <v>43</v>
      </c>
      <c r="D15" t="s">
        <v>23</v>
      </c>
      <c r="E15" s="2">
        <v>5323</v>
      </c>
      <c r="F15" s="2">
        <v>2750</v>
      </c>
      <c r="G15" s="2">
        <v>500</v>
      </c>
      <c r="H15" s="2">
        <v>500</v>
      </c>
      <c r="I15" s="2">
        <v>1500</v>
      </c>
      <c r="J15" s="2">
        <v>2500</v>
      </c>
      <c r="K15" s="2">
        <v>300</v>
      </c>
      <c r="L15" s="2">
        <v>900</v>
      </c>
      <c r="M15" s="2">
        <v>1500</v>
      </c>
      <c r="N15" s="2">
        <v>350</v>
      </c>
      <c r="O15">
        <v>2</v>
      </c>
      <c r="P15" t="s">
        <v>24</v>
      </c>
      <c r="Q15" t="s">
        <v>25</v>
      </c>
      <c r="R15" s="2">
        <f t="shared" si="9"/>
        <v>1750</v>
      </c>
      <c r="S15" s="2">
        <f t="shared" si="0"/>
        <v>1925.0000000000002</v>
      </c>
      <c r="T15" s="2">
        <f t="shared" si="10"/>
        <v>1250</v>
      </c>
      <c r="U15" s="2">
        <f t="shared" si="1"/>
        <v>1375</v>
      </c>
      <c r="V15" s="2">
        <f t="shared" si="11"/>
        <v>2250</v>
      </c>
      <c r="W15" s="2">
        <f t="shared" si="2"/>
        <v>2475</v>
      </c>
    </row>
    <row r="16" spans="1:24" x14ac:dyDescent="0.25">
      <c r="A16" t="s">
        <v>50</v>
      </c>
      <c r="B16" t="s">
        <v>51</v>
      </c>
      <c r="C16" t="s">
        <v>52</v>
      </c>
      <c r="D16" t="s">
        <v>23</v>
      </c>
      <c r="E16" s="2">
        <v>5323</v>
      </c>
      <c r="F16" s="2">
        <v>2750</v>
      </c>
      <c r="G16" s="2">
        <v>500</v>
      </c>
      <c r="H16" s="2">
        <v>500</v>
      </c>
      <c r="I16" s="2">
        <v>1500</v>
      </c>
      <c r="J16" s="2">
        <v>2500</v>
      </c>
      <c r="K16" s="2">
        <v>300</v>
      </c>
      <c r="L16" s="2">
        <v>900</v>
      </c>
      <c r="M16" s="2">
        <v>1500</v>
      </c>
      <c r="N16" s="2">
        <v>350</v>
      </c>
      <c r="O16">
        <v>2</v>
      </c>
      <c r="P16" t="s">
        <v>24</v>
      </c>
      <c r="Q16" t="s">
        <v>25</v>
      </c>
      <c r="R16" s="2">
        <f t="shared" si="9"/>
        <v>1750</v>
      </c>
      <c r="S16" s="2">
        <f t="shared" si="0"/>
        <v>1925.0000000000002</v>
      </c>
      <c r="T16" s="2">
        <f t="shared" si="10"/>
        <v>1250</v>
      </c>
      <c r="U16" s="2">
        <f t="shared" si="1"/>
        <v>1375</v>
      </c>
      <c r="V16" s="2">
        <f t="shared" si="11"/>
        <v>2250</v>
      </c>
      <c r="W16" s="2">
        <f t="shared" si="2"/>
        <v>2475</v>
      </c>
    </row>
    <row r="17" spans="1:23" x14ac:dyDescent="0.25">
      <c r="B17" s="10" t="s">
        <v>369</v>
      </c>
      <c r="E17" s="2"/>
      <c r="F17" s="2"/>
      <c r="G17" s="2"/>
      <c r="H17" s="2"/>
      <c r="I17" s="2"/>
      <c r="J17" s="2"/>
      <c r="K17" s="2"/>
      <c r="L17" s="2"/>
      <c r="M17" s="2"/>
      <c r="N17" s="2"/>
      <c r="R17" s="2"/>
      <c r="S17" s="2"/>
      <c r="T17" s="2"/>
      <c r="U17" s="2"/>
      <c r="V17" s="2"/>
      <c r="W17" s="2"/>
    </row>
    <row r="18" spans="1:23" x14ac:dyDescent="0.25">
      <c r="E18" s="2"/>
      <c r="F18" s="2"/>
      <c r="G18" s="2"/>
      <c r="H18" s="2"/>
      <c r="I18" s="2"/>
      <c r="J18" s="2"/>
      <c r="K18" s="2"/>
      <c r="L18" s="2"/>
      <c r="M18" s="2"/>
      <c r="N18" s="2"/>
      <c r="R18" s="2"/>
      <c r="S18" s="2"/>
      <c r="T18" s="2"/>
      <c r="U18" s="2"/>
      <c r="V18" s="2"/>
      <c r="W18" s="2"/>
    </row>
    <row r="19" spans="1:23" x14ac:dyDescent="0.25">
      <c r="A19" t="s">
        <v>69</v>
      </c>
      <c r="B19" t="s">
        <v>70</v>
      </c>
      <c r="C19" t="s">
        <v>71</v>
      </c>
      <c r="D19" t="s">
        <v>23</v>
      </c>
      <c r="E19" s="2">
        <v>48096</v>
      </c>
      <c r="F19" s="2">
        <v>36072</v>
      </c>
      <c r="G19" s="2">
        <v>680</v>
      </c>
      <c r="H19" s="2">
        <v>680</v>
      </c>
      <c r="I19" s="2">
        <v>2040</v>
      </c>
      <c r="J19" s="2">
        <v>3400</v>
      </c>
      <c r="K19" s="2">
        <v>480</v>
      </c>
      <c r="L19" s="2">
        <v>1440</v>
      </c>
      <c r="M19" s="2">
        <v>2400</v>
      </c>
      <c r="N19" s="2">
        <v>1250</v>
      </c>
      <c r="O19">
        <v>2</v>
      </c>
      <c r="P19" t="s">
        <v>24</v>
      </c>
      <c r="Q19" t="s">
        <v>72</v>
      </c>
      <c r="R19" s="2">
        <v>7700</v>
      </c>
      <c r="S19" s="2">
        <f t="shared" si="0"/>
        <v>8470</v>
      </c>
      <c r="T19" s="2">
        <v>3100</v>
      </c>
      <c r="U19" s="2">
        <f t="shared" si="1"/>
        <v>3410.0000000000005</v>
      </c>
      <c r="V19" s="6">
        <f>((R19-T19)*2)+T19</f>
        <v>12300</v>
      </c>
      <c r="W19" s="2">
        <f t="shared" si="2"/>
        <v>13530.000000000002</v>
      </c>
    </row>
    <row r="20" spans="1:23" x14ac:dyDescent="0.25">
      <c r="A20" t="s">
        <v>73</v>
      </c>
      <c r="B20" t="s">
        <v>74</v>
      </c>
      <c r="C20" t="s">
        <v>75</v>
      </c>
      <c r="D20" t="s">
        <v>23</v>
      </c>
      <c r="E20" s="2">
        <v>52128</v>
      </c>
      <c r="F20" s="2">
        <v>39096</v>
      </c>
      <c r="G20" s="2">
        <v>680</v>
      </c>
      <c r="H20" s="2">
        <v>680</v>
      </c>
      <c r="I20" s="2">
        <v>2040</v>
      </c>
      <c r="J20" s="2">
        <v>3400</v>
      </c>
      <c r="K20" s="2">
        <v>480</v>
      </c>
      <c r="L20" s="2">
        <v>1440</v>
      </c>
      <c r="M20" s="2">
        <v>2400</v>
      </c>
      <c r="N20" s="2">
        <v>1250</v>
      </c>
      <c r="O20">
        <v>2</v>
      </c>
      <c r="P20" t="s">
        <v>24</v>
      </c>
      <c r="Q20" t="s">
        <v>72</v>
      </c>
      <c r="R20" s="2">
        <v>10000</v>
      </c>
      <c r="S20" s="2">
        <f t="shared" si="0"/>
        <v>11000</v>
      </c>
      <c r="T20" s="2">
        <v>4000</v>
      </c>
      <c r="U20" s="2">
        <f t="shared" si="1"/>
        <v>4400</v>
      </c>
      <c r="V20" s="6">
        <f t="shared" ref="V20:V29" si="12">((R20-T20)*2)+T20</f>
        <v>16000</v>
      </c>
      <c r="W20" s="2">
        <f t="shared" si="2"/>
        <v>17600</v>
      </c>
    </row>
    <row r="21" spans="1:23" x14ac:dyDescent="0.25">
      <c r="A21" t="s">
        <v>76</v>
      </c>
      <c r="B21" t="s">
        <v>77</v>
      </c>
      <c r="C21" t="s">
        <v>78</v>
      </c>
      <c r="D21" t="s">
        <v>23</v>
      </c>
      <c r="E21" s="2">
        <v>64368</v>
      </c>
      <c r="F21" s="2">
        <v>48276</v>
      </c>
      <c r="G21" s="2">
        <v>680</v>
      </c>
      <c r="H21" s="2">
        <v>680</v>
      </c>
      <c r="I21" s="2">
        <v>2040</v>
      </c>
      <c r="J21" s="2">
        <v>3400</v>
      </c>
      <c r="K21" s="2">
        <v>480</v>
      </c>
      <c r="L21" s="2">
        <v>1440</v>
      </c>
      <c r="M21" s="2">
        <v>2400</v>
      </c>
      <c r="N21" s="2">
        <v>1250</v>
      </c>
      <c r="O21">
        <v>2</v>
      </c>
      <c r="P21" t="s">
        <v>24</v>
      </c>
      <c r="Q21" t="s">
        <v>72</v>
      </c>
      <c r="R21" s="2">
        <v>12200</v>
      </c>
      <c r="S21" s="2">
        <f t="shared" si="0"/>
        <v>13420.000000000002</v>
      </c>
      <c r="T21" s="2">
        <v>4900</v>
      </c>
      <c r="U21" s="2">
        <f t="shared" si="1"/>
        <v>5390</v>
      </c>
      <c r="V21" s="6">
        <f t="shared" si="12"/>
        <v>19500</v>
      </c>
      <c r="W21" s="2">
        <f t="shared" si="2"/>
        <v>21450</v>
      </c>
    </row>
    <row r="22" spans="1:23" x14ac:dyDescent="0.25">
      <c r="A22" t="s">
        <v>79</v>
      </c>
      <c r="B22" t="s">
        <v>80</v>
      </c>
      <c r="C22" t="s">
        <v>81</v>
      </c>
      <c r="D22" t="s">
        <v>23</v>
      </c>
      <c r="E22" s="2">
        <v>79200</v>
      </c>
      <c r="F22" s="2">
        <v>59400</v>
      </c>
      <c r="G22" s="2">
        <v>680</v>
      </c>
      <c r="H22" s="2">
        <v>680</v>
      </c>
      <c r="I22" s="2">
        <v>2040</v>
      </c>
      <c r="J22" s="2">
        <v>3400</v>
      </c>
      <c r="K22" s="2">
        <v>480</v>
      </c>
      <c r="L22" s="2">
        <v>1440</v>
      </c>
      <c r="M22" s="2">
        <v>2400</v>
      </c>
      <c r="N22" s="2">
        <v>1250</v>
      </c>
      <c r="O22">
        <v>2</v>
      </c>
      <c r="P22" t="s">
        <v>24</v>
      </c>
      <c r="Q22" t="s">
        <v>72</v>
      </c>
      <c r="R22" s="2">
        <v>14500</v>
      </c>
      <c r="S22" s="2">
        <f t="shared" si="0"/>
        <v>15950.000000000002</v>
      </c>
      <c r="T22" s="2">
        <v>5800</v>
      </c>
      <c r="U22" s="2">
        <f t="shared" si="1"/>
        <v>6380.0000000000009</v>
      </c>
      <c r="V22" s="6">
        <f t="shared" si="12"/>
        <v>23200</v>
      </c>
      <c r="W22" s="2">
        <f t="shared" si="2"/>
        <v>25520.000000000004</v>
      </c>
    </row>
    <row r="23" spans="1:23" x14ac:dyDescent="0.25">
      <c r="A23" t="s">
        <v>82</v>
      </c>
      <c r="B23" t="s">
        <v>83</v>
      </c>
      <c r="C23" t="s">
        <v>84</v>
      </c>
      <c r="D23" t="s">
        <v>23</v>
      </c>
      <c r="E23" s="2">
        <v>48096</v>
      </c>
      <c r="F23" s="2">
        <v>36072</v>
      </c>
      <c r="G23" s="2">
        <v>680</v>
      </c>
      <c r="H23" s="2">
        <v>680</v>
      </c>
      <c r="I23" s="2">
        <v>2040</v>
      </c>
      <c r="J23" s="2">
        <v>3400</v>
      </c>
      <c r="K23" s="2">
        <v>480</v>
      </c>
      <c r="L23" s="2">
        <v>1440</v>
      </c>
      <c r="M23" s="2">
        <v>2400</v>
      </c>
      <c r="N23" s="2">
        <v>1250</v>
      </c>
      <c r="O23">
        <v>2</v>
      </c>
      <c r="P23" t="s">
        <v>24</v>
      </c>
      <c r="Q23" t="s">
        <v>72</v>
      </c>
      <c r="R23" s="2">
        <v>7700</v>
      </c>
      <c r="S23" s="2">
        <f t="shared" si="0"/>
        <v>8470</v>
      </c>
      <c r="T23" s="2">
        <v>3100</v>
      </c>
      <c r="U23" s="2">
        <f t="shared" si="1"/>
        <v>3410.0000000000005</v>
      </c>
      <c r="V23" s="6">
        <f t="shared" si="12"/>
        <v>12300</v>
      </c>
      <c r="W23" s="2">
        <f t="shared" si="2"/>
        <v>13530.000000000002</v>
      </c>
    </row>
    <row r="24" spans="1:23" x14ac:dyDescent="0.25">
      <c r="A24" t="s">
        <v>85</v>
      </c>
      <c r="B24" t="s">
        <v>86</v>
      </c>
      <c r="C24" t="s">
        <v>87</v>
      </c>
      <c r="D24" t="s">
        <v>23</v>
      </c>
      <c r="E24" s="2">
        <v>52128</v>
      </c>
      <c r="F24" s="2">
        <v>39096</v>
      </c>
      <c r="G24" s="2">
        <v>680</v>
      </c>
      <c r="H24" s="2">
        <v>680</v>
      </c>
      <c r="I24" s="2">
        <v>2040</v>
      </c>
      <c r="J24" s="2">
        <v>3400</v>
      </c>
      <c r="K24" s="2">
        <v>480</v>
      </c>
      <c r="L24" s="2">
        <v>1440</v>
      </c>
      <c r="M24" s="2">
        <v>2400</v>
      </c>
      <c r="N24" s="2">
        <v>1250</v>
      </c>
      <c r="O24">
        <v>2</v>
      </c>
      <c r="P24" t="s">
        <v>24</v>
      </c>
      <c r="Q24" t="s">
        <v>72</v>
      </c>
      <c r="R24" s="2">
        <v>10000</v>
      </c>
      <c r="S24" s="2">
        <f t="shared" si="0"/>
        <v>11000</v>
      </c>
      <c r="T24" s="2">
        <v>4000</v>
      </c>
      <c r="U24" s="2">
        <f t="shared" si="1"/>
        <v>4400</v>
      </c>
      <c r="V24" s="6">
        <f t="shared" si="12"/>
        <v>16000</v>
      </c>
      <c r="W24" s="2">
        <f t="shared" si="2"/>
        <v>17600</v>
      </c>
    </row>
    <row r="25" spans="1:23" x14ac:dyDescent="0.25">
      <c r="A25" t="s">
        <v>88</v>
      </c>
      <c r="B25" t="s">
        <v>89</v>
      </c>
      <c r="C25" t="s">
        <v>90</v>
      </c>
      <c r="D25" t="s">
        <v>23</v>
      </c>
      <c r="E25" s="2">
        <v>64368</v>
      </c>
      <c r="F25" s="2">
        <v>48276</v>
      </c>
      <c r="G25" s="2">
        <v>680</v>
      </c>
      <c r="H25" s="2">
        <v>680</v>
      </c>
      <c r="I25" s="2">
        <v>2040</v>
      </c>
      <c r="J25" s="2">
        <v>3400</v>
      </c>
      <c r="K25" s="2">
        <v>480</v>
      </c>
      <c r="L25" s="2">
        <v>1440</v>
      </c>
      <c r="M25" s="2">
        <v>2400</v>
      </c>
      <c r="N25" s="2">
        <v>1250</v>
      </c>
      <c r="O25">
        <v>2</v>
      </c>
      <c r="P25" t="s">
        <v>24</v>
      </c>
      <c r="Q25" t="s">
        <v>72</v>
      </c>
      <c r="R25" s="2">
        <v>12200</v>
      </c>
      <c r="S25" s="2">
        <f t="shared" si="0"/>
        <v>13420.000000000002</v>
      </c>
      <c r="T25" s="2">
        <v>4900</v>
      </c>
      <c r="U25" s="2">
        <f t="shared" si="1"/>
        <v>5390</v>
      </c>
      <c r="V25" s="6">
        <f t="shared" si="12"/>
        <v>19500</v>
      </c>
      <c r="W25" s="2">
        <f t="shared" si="2"/>
        <v>21450</v>
      </c>
    </row>
    <row r="26" spans="1:23" x14ac:dyDescent="0.25">
      <c r="A26" t="s">
        <v>91</v>
      </c>
      <c r="B26" t="s">
        <v>92</v>
      </c>
      <c r="C26" t="s">
        <v>93</v>
      </c>
      <c r="D26" t="s">
        <v>23</v>
      </c>
      <c r="E26" s="2">
        <v>79200</v>
      </c>
      <c r="F26" s="2">
        <v>59400</v>
      </c>
      <c r="G26" s="2">
        <v>680</v>
      </c>
      <c r="H26" s="2">
        <v>680</v>
      </c>
      <c r="I26" s="2">
        <v>2040</v>
      </c>
      <c r="J26" s="2">
        <v>3400</v>
      </c>
      <c r="K26" s="2">
        <v>480</v>
      </c>
      <c r="L26" s="2">
        <v>1440</v>
      </c>
      <c r="M26" s="2">
        <v>2400</v>
      </c>
      <c r="N26" s="2">
        <v>1250</v>
      </c>
      <c r="O26">
        <v>2</v>
      </c>
      <c r="P26" t="s">
        <v>24</v>
      </c>
      <c r="Q26" t="s">
        <v>72</v>
      </c>
      <c r="R26" s="2">
        <v>14500</v>
      </c>
      <c r="S26" s="2">
        <f t="shared" si="0"/>
        <v>15950.000000000002</v>
      </c>
      <c r="T26" s="2">
        <v>5800</v>
      </c>
      <c r="U26" s="2">
        <f t="shared" si="1"/>
        <v>6380.0000000000009</v>
      </c>
      <c r="V26" s="6">
        <f t="shared" si="12"/>
        <v>23200</v>
      </c>
      <c r="W26" s="2">
        <f t="shared" si="2"/>
        <v>25520.000000000004</v>
      </c>
    </row>
    <row r="27" spans="1:23" x14ac:dyDescent="0.25">
      <c r="A27" t="s">
        <v>103</v>
      </c>
      <c r="B27" t="s">
        <v>104</v>
      </c>
      <c r="C27" t="s">
        <v>105</v>
      </c>
      <c r="D27" t="s">
        <v>23</v>
      </c>
      <c r="E27" s="2">
        <v>146667</v>
      </c>
      <c r="F27" s="2">
        <v>110000</v>
      </c>
      <c r="G27" s="2">
        <v>680</v>
      </c>
      <c r="H27" s="2">
        <v>680</v>
      </c>
      <c r="I27" s="2">
        <v>2040</v>
      </c>
      <c r="J27" s="2">
        <v>3400</v>
      </c>
      <c r="K27" s="2">
        <v>480</v>
      </c>
      <c r="L27" s="2">
        <v>1440</v>
      </c>
      <c r="M27" s="2">
        <v>2400</v>
      </c>
      <c r="N27" s="2">
        <v>1250</v>
      </c>
      <c r="O27">
        <v>2</v>
      </c>
      <c r="P27" t="s">
        <v>24</v>
      </c>
      <c r="Q27" t="s">
        <v>72</v>
      </c>
      <c r="R27" s="2">
        <v>25000</v>
      </c>
      <c r="S27" s="2">
        <f t="shared" si="0"/>
        <v>27500.000000000004</v>
      </c>
      <c r="T27" s="2">
        <v>20000</v>
      </c>
      <c r="U27" s="2">
        <f t="shared" si="1"/>
        <v>22000</v>
      </c>
      <c r="V27" s="2">
        <f t="shared" si="12"/>
        <v>30000</v>
      </c>
      <c r="W27" s="2">
        <f t="shared" si="2"/>
        <v>33000</v>
      </c>
    </row>
    <row r="28" spans="1:23" x14ac:dyDescent="0.25">
      <c r="A28" t="s">
        <v>106</v>
      </c>
      <c r="B28" t="s">
        <v>107</v>
      </c>
      <c r="C28" t="s">
        <v>108</v>
      </c>
      <c r="D28" t="s">
        <v>23</v>
      </c>
      <c r="E28" s="2">
        <v>146667</v>
      </c>
      <c r="F28" s="2">
        <v>110000</v>
      </c>
      <c r="G28" s="2">
        <v>680</v>
      </c>
      <c r="H28" s="2">
        <v>680</v>
      </c>
      <c r="I28" s="2">
        <v>2040</v>
      </c>
      <c r="J28" s="2">
        <v>3400</v>
      </c>
      <c r="K28" s="2">
        <v>480</v>
      </c>
      <c r="L28" s="2">
        <v>1440</v>
      </c>
      <c r="M28" s="2">
        <v>2400</v>
      </c>
      <c r="N28" s="2">
        <v>1250</v>
      </c>
      <c r="O28">
        <v>2</v>
      </c>
      <c r="P28" t="s">
        <v>24</v>
      </c>
      <c r="Q28" t="s">
        <v>72</v>
      </c>
      <c r="R28" s="2">
        <v>25000</v>
      </c>
      <c r="S28" s="2">
        <f t="shared" si="0"/>
        <v>27500.000000000004</v>
      </c>
      <c r="T28" s="2">
        <v>20000</v>
      </c>
      <c r="U28" s="2">
        <f t="shared" si="1"/>
        <v>22000</v>
      </c>
      <c r="V28" s="2">
        <f t="shared" si="12"/>
        <v>30000</v>
      </c>
      <c r="W28" s="2">
        <f t="shared" si="2"/>
        <v>33000</v>
      </c>
    </row>
    <row r="29" spans="1:23" x14ac:dyDescent="0.25">
      <c r="A29" t="s">
        <v>109</v>
      </c>
      <c r="B29" t="s">
        <v>110</v>
      </c>
      <c r="C29" t="s">
        <v>111</v>
      </c>
      <c r="D29" t="s">
        <v>23</v>
      </c>
      <c r="E29" s="2">
        <v>146667</v>
      </c>
      <c r="F29" s="2">
        <v>110000</v>
      </c>
      <c r="G29" s="2">
        <v>680</v>
      </c>
      <c r="H29" s="2">
        <v>680</v>
      </c>
      <c r="I29" s="2">
        <v>2040</v>
      </c>
      <c r="J29" s="2">
        <v>3400</v>
      </c>
      <c r="K29" s="2">
        <v>480</v>
      </c>
      <c r="L29" s="2">
        <v>1440</v>
      </c>
      <c r="M29" s="2">
        <v>2400</v>
      </c>
      <c r="N29" s="2">
        <v>1250</v>
      </c>
      <c r="O29">
        <v>2</v>
      </c>
      <c r="P29" t="s">
        <v>24</v>
      </c>
      <c r="Q29" t="s">
        <v>72</v>
      </c>
      <c r="R29" s="2">
        <v>25000</v>
      </c>
      <c r="S29" s="2">
        <f t="shared" si="0"/>
        <v>27500.000000000004</v>
      </c>
      <c r="T29" s="2">
        <v>20000</v>
      </c>
      <c r="U29" s="2">
        <f t="shared" si="1"/>
        <v>22000</v>
      </c>
      <c r="V29" s="2">
        <f t="shared" si="12"/>
        <v>30000</v>
      </c>
      <c r="W29" s="2">
        <f t="shared" si="2"/>
        <v>33000</v>
      </c>
    </row>
    <row r="30" spans="1:23" x14ac:dyDescent="0.25">
      <c r="A30" t="s">
        <v>94</v>
      </c>
      <c r="B30" t="s">
        <v>95</v>
      </c>
      <c r="C30" t="s">
        <v>96</v>
      </c>
      <c r="D30" t="s">
        <v>23</v>
      </c>
      <c r="E30" s="2">
        <v>196933</v>
      </c>
      <c r="F30" s="2">
        <v>147700</v>
      </c>
      <c r="G30" s="2">
        <v>1360</v>
      </c>
      <c r="H30" s="2">
        <v>1360</v>
      </c>
      <c r="I30" s="2">
        <v>4080</v>
      </c>
      <c r="J30" s="2">
        <v>6800</v>
      </c>
      <c r="K30" s="2">
        <v>960</v>
      </c>
      <c r="L30" s="2">
        <v>2880</v>
      </c>
      <c r="M30" s="2">
        <v>4800</v>
      </c>
      <c r="N30" s="2">
        <v>1250</v>
      </c>
      <c r="O30">
        <v>4</v>
      </c>
      <c r="P30" t="s">
        <v>24</v>
      </c>
      <c r="Q30" t="s">
        <v>72</v>
      </c>
      <c r="R30" s="6">
        <f>R27*2</f>
        <v>50000</v>
      </c>
      <c r="S30" s="2">
        <f t="shared" si="0"/>
        <v>55000.000000000007</v>
      </c>
      <c r="T30" s="6">
        <f>T27*2</f>
        <v>40000</v>
      </c>
      <c r="U30" s="2">
        <f t="shared" si="1"/>
        <v>44000</v>
      </c>
      <c r="V30" s="6">
        <f>V27*2</f>
        <v>60000</v>
      </c>
      <c r="W30" s="2">
        <f t="shared" si="2"/>
        <v>66000</v>
      </c>
    </row>
    <row r="31" spans="1:23" x14ac:dyDescent="0.25">
      <c r="A31" t="s">
        <v>97</v>
      </c>
      <c r="B31" t="s">
        <v>98</v>
      </c>
      <c r="C31" t="s">
        <v>99</v>
      </c>
      <c r="D31" t="s">
        <v>23</v>
      </c>
      <c r="E31" s="2">
        <v>196933</v>
      </c>
      <c r="F31" s="2">
        <v>147700</v>
      </c>
      <c r="G31" s="2">
        <v>1360</v>
      </c>
      <c r="H31" s="2">
        <v>1360</v>
      </c>
      <c r="I31" s="2">
        <v>4080</v>
      </c>
      <c r="J31" s="2">
        <v>6800</v>
      </c>
      <c r="K31" s="2">
        <v>960</v>
      </c>
      <c r="L31" s="2">
        <v>2880</v>
      </c>
      <c r="M31" s="2">
        <v>4800</v>
      </c>
      <c r="N31" s="2">
        <v>1250</v>
      </c>
      <c r="O31">
        <v>4</v>
      </c>
      <c r="P31" t="s">
        <v>24</v>
      </c>
      <c r="Q31" t="s">
        <v>72</v>
      </c>
      <c r="R31" s="6">
        <f t="shared" ref="R31:T32" si="13">R28*2</f>
        <v>50000</v>
      </c>
      <c r="S31" s="2">
        <f t="shared" si="0"/>
        <v>55000.000000000007</v>
      </c>
      <c r="T31" s="6">
        <f t="shared" si="13"/>
        <v>40000</v>
      </c>
      <c r="U31" s="2">
        <f t="shared" si="1"/>
        <v>44000</v>
      </c>
      <c r="V31" s="6">
        <f t="shared" ref="V31" si="14">V28*2</f>
        <v>60000</v>
      </c>
      <c r="W31" s="2">
        <f t="shared" si="2"/>
        <v>66000</v>
      </c>
    </row>
    <row r="32" spans="1:23" x14ac:dyDescent="0.25">
      <c r="A32" t="s">
        <v>100</v>
      </c>
      <c r="B32" t="s">
        <v>101</v>
      </c>
      <c r="C32" t="s">
        <v>102</v>
      </c>
      <c r="D32" t="s">
        <v>23</v>
      </c>
      <c r="E32" s="2">
        <v>196933</v>
      </c>
      <c r="F32" s="2">
        <v>147700</v>
      </c>
      <c r="G32" s="2">
        <v>1360</v>
      </c>
      <c r="H32" s="2">
        <v>1360</v>
      </c>
      <c r="I32" s="2">
        <v>4080</v>
      </c>
      <c r="J32" s="2">
        <v>6800</v>
      </c>
      <c r="K32" s="2">
        <v>960</v>
      </c>
      <c r="L32" s="2">
        <v>2880</v>
      </c>
      <c r="M32" s="2">
        <v>4800</v>
      </c>
      <c r="N32" s="2">
        <v>1250</v>
      </c>
      <c r="O32">
        <v>4</v>
      </c>
      <c r="P32" t="s">
        <v>24</v>
      </c>
      <c r="Q32" t="s">
        <v>72</v>
      </c>
      <c r="R32" s="6">
        <f t="shared" si="13"/>
        <v>50000</v>
      </c>
      <c r="S32" s="2">
        <f t="shared" si="0"/>
        <v>55000.000000000007</v>
      </c>
      <c r="T32" s="6">
        <f t="shared" si="13"/>
        <v>40000</v>
      </c>
      <c r="U32" s="2">
        <f t="shared" si="1"/>
        <v>44000</v>
      </c>
      <c r="V32" s="6">
        <f t="shared" ref="V32" si="15">V29*2</f>
        <v>60000</v>
      </c>
      <c r="W32" s="2">
        <f t="shared" si="2"/>
        <v>66000</v>
      </c>
    </row>
  </sheetData>
  <autoFilter ref="A1:W1" xr:uid="{00000000-0001-0000-0000-000000000000}">
    <sortState xmlns:xlrd2="http://schemas.microsoft.com/office/spreadsheetml/2017/richdata2" ref="A2:W30">
      <sortCondition ref="O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4D76-EC82-4518-8146-CE0E49759B55}">
  <sheetPr>
    <tabColor rgb="FF4CBC88"/>
  </sheetPr>
  <dimension ref="A1:X54"/>
  <sheetViews>
    <sheetView zoomScale="85" zoomScaleNormal="85" workbookViewId="0">
      <pane ySplit="1" topLeftCell="A2" activePane="bottomLeft" state="frozen"/>
      <selection pane="bottomLeft" activeCell="A17" sqref="A17:XFD17"/>
    </sheetView>
  </sheetViews>
  <sheetFormatPr defaultRowHeight="15" x14ac:dyDescent="0.25"/>
  <cols>
    <col min="1" max="1" width="30" customWidth="1"/>
    <col min="2" max="2" width="60" customWidth="1"/>
    <col min="3" max="3" width="70" customWidth="1"/>
    <col min="4" max="6" width="15" customWidth="1"/>
    <col min="7" max="7" width="22" customWidth="1"/>
    <col min="8" max="13" width="20" customWidth="1"/>
    <col min="14" max="14" width="15" customWidth="1"/>
    <col min="15" max="15" width="17" customWidth="1"/>
    <col min="16" max="18" width="15" customWidth="1"/>
    <col min="19" max="23" width="24" customWidth="1"/>
  </cols>
  <sheetData>
    <row r="1" spans="1:24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365</v>
      </c>
      <c r="S1" s="1" t="s">
        <v>17</v>
      </c>
      <c r="T1" s="5" t="s">
        <v>366</v>
      </c>
      <c r="U1" s="1" t="s">
        <v>18</v>
      </c>
      <c r="V1" s="5" t="s">
        <v>367</v>
      </c>
      <c r="W1" s="1" t="s">
        <v>19</v>
      </c>
      <c r="X1" s="4">
        <v>0.1</v>
      </c>
    </row>
    <row r="2" spans="1:24" x14ac:dyDescent="0.25">
      <c r="A2" t="s">
        <v>62</v>
      </c>
      <c r="B2" t="s">
        <v>63</v>
      </c>
      <c r="C2" t="s">
        <v>64</v>
      </c>
      <c r="D2" t="s">
        <v>23</v>
      </c>
      <c r="E2" s="6">
        <f>ROUND('EVSE Products-NY'!E2*(1+'EVSE Products-MA'!$A$53),0)</f>
        <v>1100</v>
      </c>
      <c r="F2" s="2">
        <v>500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>
        <v>0</v>
      </c>
      <c r="P2" t="s">
        <v>65</v>
      </c>
      <c r="Q2" t="s">
        <v>25</v>
      </c>
      <c r="R2" s="2">
        <v>1000</v>
      </c>
      <c r="S2" s="2">
        <f t="shared" ref="S2:S30" si="0">R2*(1+$X$1)</f>
        <v>1100</v>
      </c>
      <c r="T2" s="2">
        <v>750</v>
      </c>
      <c r="U2" s="2">
        <f t="shared" ref="U2:U30" si="1">T2*(1+$X$1)</f>
        <v>825.00000000000011</v>
      </c>
      <c r="V2" s="2">
        <v>1250</v>
      </c>
      <c r="W2" s="2">
        <f t="shared" ref="W2:W30" si="2">V2*(1+$X$1)</f>
        <v>1375</v>
      </c>
    </row>
    <row r="3" spans="1:24" x14ac:dyDescent="0.25">
      <c r="A3" t="s">
        <v>66</v>
      </c>
      <c r="B3" t="s">
        <v>67</v>
      </c>
      <c r="C3" t="s">
        <v>68</v>
      </c>
      <c r="D3" t="s">
        <v>23</v>
      </c>
      <c r="E3" s="6">
        <f>ROUND('EVSE Products-NY'!E3*(1+'EVSE Products-MA'!$A$53),0)</f>
        <v>1100</v>
      </c>
      <c r="F3" s="2">
        <v>500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>
        <v>0</v>
      </c>
      <c r="P3" t="s">
        <v>65</v>
      </c>
      <c r="Q3" t="s">
        <v>25</v>
      </c>
      <c r="R3" s="2">
        <v>1000</v>
      </c>
      <c r="S3" s="2">
        <f t="shared" si="0"/>
        <v>1100</v>
      </c>
      <c r="T3" s="2">
        <v>750</v>
      </c>
      <c r="U3" s="2">
        <f t="shared" si="1"/>
        <v>825.00000000000011</v>
      </c>
      <c r="V3" s="2">
        <v>1250</v>
      </c>
      <c r="W3" s="2">
        <f t="shared" si="2"/>
        <v>1375</v>
      </c>
    </row>
    <row r="4" spans="1:24" x14ac:dyDescent="0.25">
      <c r="A4" t="s">
        <v>26</v>
      </c>
      <c r="B4" t="s">
        <v>27</v>
      </c>
      <c r="C4" t="s">
        <v>28</v>
      </c>
      <c r="D4" t="s">
        <v>23</v>
      </c>
      <c r="E4" s="6">
        <f>ROUND('EVSE Products-NY'!E4*(1+'EVSE Products-MA'!$A$53),0)</f>
        <v>4865</v>
      </c>
      <c r="F4" s="2">
        <v>1580</v>
      </c>
      <c r="G4" s="2">
        <v>250</v>
      </c>
      <c r="H4" s="2">
        <v>250</v>
      </c>
      <c r="I4" s="2">
        <v>750</v>
      </c>
      <c r="J4" s="2">
        <v>1250</v>
      </c>
      <c r="K4" s="2">
        <v>150</v>
      </c>
      <c r="L4" s="2">
        <v>450</v>
      </c>
      <c r="M4" s="2">
        <v>750</v>
      </c>
      <c r="N4" s="2">
        <v>350</v>
      </c>
      <c r="O4">
        <v>1</v>
      </c>
      <c r="P4" t="s">
        <v>24</v>
      </c>
      <c r="Q4" t="s">
        <v>25</v>
      </c>
      <c r="R4" s="2">
        <f>700*1.25</f>
        <v>875</v>
      </c>
      <c r="S4" s="6">
        <f>ROUNDUP(R4*(1+$X$1),-2)</f>
        <v>1000</v>
      </c>
      <c r="T4" s="2">
        <f>500*1.25</f>
        <v>625</v>
      </c>
      <c r="U4" s="6">
        <f>ROUNDUP(T4*(1+$X$1),-2)</f>
        <v>700</v>
      </c>
      <c r="V4" s="2">
        <f>900*1.25</f>
        <v>1125</v>
      </c>
      <c r="W4" s="6">
        <f>ROUNDUP(V4*(1+$X$1),-2)</f>
        <v>1300</v>
      </c>
    </row>
    <row r="5" spans="1:24" x14ac:dyDescent="0.25">
      <c r="A5" t="s">
        <v>29</v>
      </c>
      <c r="B5" t="s">
        <v>30</v>
      </c>
      <c r="C5" t="s">
        <v>31</v>
      </c>
      <c r="D5" t="s">
        <v>23</v>
      </c>
      <c r="E5" s="6">
        <f>ROUND('EVSE Products-NY'!E5*(1+'EVSE Products-MA'!$A$53),0)</f>
        <v>3490</v>
      </c>
      <c r="F5" s="2">
        <v>900</v>
      </c>
      <c r="G5" s="2">
        <v>250</v>
      </c>
      <c r="H5" s="2">
        <v>250</v>
      </c>
      <c r="I5" s="2">
        <v>750</v>
      </c>
      <c r="J5" s="2">
        <v>1250</v>
      </c>
      <c r="K5" s="2">
        <v>150</v>
      </c>
      <c r="L5" s="2">
        <v>450</v>
      </c>
      <c r="M5" s="2">
        <v>750</v>
      </c>
      <c r="N5" s="2">
        <v>350</v>
      </c>
      <c r="O5">
        <v>1</v>
      </c>
      <c r="P5" t="s">
        <v>24</v>
      </c>
      <c r="Q5" t="s">
        <v>25</v>
      </c>
      <c r="R5" s="2">
        <f>700*1.25</f>
        <v>875</v>
      </c>
      <c r="S5" s="6">
        <f>ROUNDUP(R5*(1+$X$1),-2)</f>
        <v>1000</v>
      </c>
      <c r="T5" s="2">
        <f>500*1.25</f>
        <v>625</v>
      </c>
      <c r="U5" s="6">
        <f>ROUNDUP(T5*(1+$X$1),-2)</f>
        <v>700</v>
      </c>
      <c r="V5" s="2">
        <f>900*1.25</f>
        <v>1125</v>
      </c>
      <c r="W5" s="6">
        <f>ROUNDUP(V5*(1+$X$1),-2)</f>
        <v>1300</v>
      </c>
    </row>
    <row r="6" spans="1:24" x14ac:dyDescent="0.25">
      <c r="A6" t="s">
        <v>35</v>
      </c>
      <c r="B6" t="s">
        <v>36</v>
      </c>
      <c r="C6" t="s">
        <v>37</v>
      </c>
      <c r="D6" t="s">
        <v>23</v>
      </c>
      <c r="E6" s="6">
        <f>ROUND('EVSE Products-NY'!E6*(1+'EVSE Products-MA'!$A$53),0)</f>
        <v>4865</v>
      </c>
      <c r="F6" s="2">
        <v>1580</v>
      </c>
      <c r="G6" s="2">
        <v>250</v>
      </c>
      <c r="H6" s="2">
        <v>250</v>
      </c>
      <c r="I6" s="2">
        <v>750</v>
      </c>
      <c r="J6" s="2">
        <v>1250</v>
      </c>
      <c r="K6" s="2">
        <v>150</v>
      </c>
      <c r="L6" s="2">
        <v>450</v>
      </c>
      <c r="M6" s="2">
        <v>750</v>
      </c>
      <c r="N6" s="2">
        <v>350</v>
      </c>
      <c r="O6">
        <v>1</v>
      </c>
      <c r="P6" t="s">
        <v>24</v>
      </c>
      <c r="Q6" t="s">
        <v>25</v>
      </c>
      <c r="R6" s="2">
        <f t="shared" ref="R6:R12" si="3">700*1.25</f>
        <v>875</v>
      </c>
      <c r="S6" s="6">
        <f t="shared" ref="S6:S12" si="4">ROUNDUP(R6*(1+$X$1),-2)</f>
        <v>1000</v>
      </c>
      <c r="T6" s="2">
        <f t="shared" ref="T6:T12" si="5">500*1.25</f>
        <v>625</v>
      </c>
      <c r="U6" s="6">
        <f t="shared" ref="U6:U12" si="6">ROUNDUP(T6*(1+$X$1),-2)</f>
        <v>700</v>
      </c>
      <c r="V6" s="2">
        <f t="shared" ref="V6:V12" si="7">900*1.25</f>
        <v>1125</v>
      </c>
      <c r="W6" s="6">
        <f t="shared" ref="W6:W12" si="8">ROUNDUP(V6*(1+$X$1),-2)</f>
        <v>1300</v>
      </c>
    </row>
    <row r="7" spans="1:24" x14ac:dyDescent="0.25">
      <c r="A7" t="s">
        <v>38</v>
      </c>
      <c r="B7" t="s">
        <v>39</v>
      </c>
      <c r="C7" t="s">
        <v>40</v>
      </c>
      <c r="D7" t="s">
        <v>23</v>
      </c>
      <c r="E7" s="6">
        <f>ROUND('EVSE Products-NY'!E7*(1+'EVSE Products-MA'!$A$53),0)</f>
        <v>3490</v>
      </c>
      <c r="F7" s="2">
        <v>900</v>
      </c>
      <c r="G7" s="2">
        <v>250</v>
      </c>
      <c r="H7" s="2">
        <v>250</v>
      </c>
      <c r="I7" s="2">
        <v>750</v>
      </c>
      <c r="J7" s="2">
        <v>1250</v>
      </c>
      <c r="K7" s="2">
        <v>150</v>
      </c>
      <c r="L7" s="2">
        <v>450</v>
      </c>
      <c r="M7" s="2">
        <v>750</v>
      </c>
      <c r="N7" s="2">
        <v>350</v>
      </c>
      <c r="O7">
        <v>1</v>
      </c>
      <c r="P7" t="s">
        <v>24</v>
      </c>
      <c r="Q7" t="s">
        <v>25</v>
      </c>
      <c r="R7" s="2">
        <f t="shared" si="3"/>
        <v>875</v>
      </c>
      <c r="S7" s="6">
        <f t="shared" si="4"/>
        <v>1000</v>
      </c>
      <c r="T7" s="2">
        <f t="shared" si="5"/>
        <v>625</v>
      </c>
      <c r="U7" s="6">
        <f t="shared" si="6"/>
        <v>700</v>
      </c>
      <c r="V7" s="2">
        <f t="shared" si="7"/>
        <v>1125</v>
      </c>
      <c r="W7" s="6">
        <f t="shared" si="8"/>
        <v>1300</v>
      </c>
    </row>
    <row r="8" spans="1:24" x14ac:dyDescent="0.25">
      <c r="A8" t="s">
        <v>44</v>
      </c>
      <c r="B8" t="s">
        <v>45</v>
      </c>
      <c r="C8" t="s">
        <v>46</v>
      </c>
      <c r="D8" t="s">
        <v>23</v>
      </c>
      <c r="E8" s="6">
        <f>ROUND('EVSE Products-NY'!E8*(1+'EVSE Products-MA'!$A$53),0)</f>
        <v>4865</v>
      </c>
      <c r="F8" s="2">
        <v>1580</v>
      </c>
      <c r="G8" s="2">
        <v>250</v>
      </c>
      <c r="H8" s="2">
        <v>250</v>
      </c>
      <c r="I8" s="2">
        <v>750</v>
      </c>
      <c r="J8" s="2">
        <v>1250</v>
      </c>
      <c r="K8" s="2">
        <v>150</v>
      </c>
      <c r="L8" s="2">
        <v>450</v>
      </c>
      <c r="M8" s="2">
        <v>750</v>
      </c>
      <c r="N8" s="2">
        <v>350</v>
      </c>
      <c r="O8">
        <v>1</v>
      </c>
      <c r="P8" t="s">
        <v>24</v>
      </c>
      <c r="Q8" t="s">
        <v>25</v>
      </c>
      <c r="R8" s="2">
        <f t="shared" si="3"/>
        <v>875</v>
      </c>
      <c r="S8" s="6">
        <f t="shared" si="4"/>
        <v>1000</v>
      </c>
      <c r="T8" s="2">
        <f t="shared" si="5"/>
        <v>625</v>
      </c>
      <c r="U8" s="6">
        <f t="shared" si="6"/>
        <v>700</v>
      </c>
      <c r="V8" s="2">
        <f t="shared" si="7"/>
        <v>1125</v>
      </c>
      <c r="W8" s="6">
        <f t="shared" si="8"/>
        <v>1300</v>
      </c>
    </row>
    <row r="9" spans="1:24" x14ac:dyDescent="0.25">
      <c r="A9" t="s">
        <v>47</v>
      </c>
      <c r="B9" t="s">
        <v>48</v>
      </c>
      <c r="C9" t="s">
        <v>49</v>
      </c>
      <c r="D9" t="s">
        <v>23</v>
      </c>
      <c r="E9" s="6">
        <f>ROUND('EVSE Products-NY'!E9*(1+'EVSE Products-MA'!$A$53),0)</f>
        <v>3490</v>
      </c>
      <c r="F9" s="2">
        <v>900</v>
      </c>
      <c r="G9" s="2">
        <v>250</v>
      </c>
      <c r="H9" s="2">
        <v>250</v>
      </c>
      <c r="I9" s="2">
        <v>750</v>
      </c>
      <c r="J9" s="2">
        <v>1250</v>
      </c>
      <c r="K9" s="2">
        <v>150</v>
      </c>
      <c r="L9" s="2">
        <v>450</v>
      </c>
      <c r="M9" s="2">
        <v>750</v>
      </c>
      <c r="N9" s="2">
        <v>350</v>
      </c>
      <c r="O9">
        <v>1</v>
      </c>
      <c r="P9" t="s">
        <v>24</v>
      </c>
      <c r="Q9" t="s">
        <v>25</v>
      </c>
      <c r="R9" s="2">
        <f t="shared" si="3"/>
        <v>875</v>
      </c>
      <c r="S9" s="6">
        <f t="shared" si="4"/>
        <v>1000</v>
      </c>
      <c r="T9" s="2">
        <f t="shared" si="5"/>
        <v>625</v>
      </c>
      <c r="U9" s="6">
        <f t="shared" si="6"/>
        <v>700</v>
      </c>
      <c r="V9" s="2">
        <f t="shared" si="7"/>
        <v>1125</v>
      </c>
      <c r="W9" s="6">
        <f t="shared" si="8"/>
        <v>1300</v>
      </c>
    </row>
    <row r="10" spans="1:24" x14ac:dyDescent="0.25">
      <c r="A10" t="s">
        <v>53</v>
      </c>
      <c r="B10" t="s">
        <v>54</v>
      </c>
      <c r="C10" t="s">
        <v>55</v>
      </c>
      <c r="D10" t="s">
        <v>23</v>
      </c>
      <c r="E10" s="6">
        <f>ROUND('EVSE Products-NY'!E10*(1+'EVSE Products-MA'!$A$53),0)</f>
        <v>4865</v>
      </c>
      <c r="F10" s="2">
        <v>1580</v>
      </c>
      <c r="G10" s="2">
        <v>250</v>
      </c>
      <c r="H10" s="2">
        <v>250</v>
      </c>
      <c r="I10" s="2">
        <v>750</v>
      </c>
      <c r="J10" s="2">
        <v>1250</v>
      </c>
      <c r="K10" s="2">
        <v>150</v>
      </c>
      <c r="L10" s="2">
        <v>450</v>
      </c>
      <c r="M10" s="2">
        <v>750</v>
      </c>
      <c r="N10" s="2">
        <v>350</v>
      </c>
      <c r="O10">
        <v>1</v>
      </c>
      <c r="P10" t="s">
        <v>24</v>
      </c>
      <c r="Q10" t="s">
        <v>25</v>
      </c>
      <c r="R10" s="2">
        <f t="shared" si="3"/>
        <v>875</v>
      </c>
      <c r="S10" s="6">
        <f t="shared" si="4"/>
        <v>1000</v>
      </c>
      <c r="T10" s="2">
        <f t="shared" si="5"/>
        <v>625</v>
      </c>
      <c r="U10" s="6">
        <f t="shared" si="6"/>
        <v>700</v>
      </c>
      <c r="V10" s="2">
        <f t="shared" si="7"/>
        <v>1125</v>
      </c>
      <c r="W10" s="6">
        <f t="shared" si="8"/>
        <v>1300</v>
      </c>
    </row>
    <row r="11" spans="1:24" x14ac:dyDescent="0.25">
      <c r="A11" t="s">
        <v>56</v>
      </c>
      <c r="B11" t="s">
        <v>57</v>
      </c>
      <c r="C11" t="s">
        <v>58</v>
      </c>
      <c r="D11" t="s">
        <v>23</v>
      </c>
      <c r="E11" s="6">
        <f>ROUND('EVSE Products-NY'!E11*(1+'EVSE Products-MA'!$A$53),0)</f>
        <v>3490</v>
      </c>
      <c r="F11" s="2">
        <v>900</v>
      </c>
      <c r="G11" s="2">
        <v>250</v>
      </c>
      <c r="H11" s="2">
        <v>250</v>
      </c>
      <c r="I11" s="2">
        <v>750</v>
      </c>
      <c r="J11" s="2">
        <v>1250</v>
      </c>
      <c r="K11" s="2">
        <v>150</v>
      </c>
      <c r="L11" s="2">
        <v>450</v>
      </c>
      <c r="M11" s="2">
        <v>750</v>
      </c>
      <c r="N11" s="2">
        <v>350</v>
      </c>
      <c r="O11">
        <v>1</v>
      </c>
      <c r="P11" t="s">
        <v>24</v>
      </c>
      <c r="Q11" t="s">
        <v>25</v>
      </c>
      <c r="R11" s="2">
        <f t="shared" si="3"/>
        <v>875</v>
      </c>
      <c r="S11" s="6">
        <f t="shared" si="4"/>
        <v>1000</v>
      </c>
      <c r="T11" s="2">
        <f t="shared" si="5"/>
        <v>625</v>
      </c>
      <c r="U11" s="6">
        <f t="shared" si="6"/>
        <v>700</v>
      </c>
      <c r="V11" s="2">
        <f t="shared" si="7"/>
        <v>1125</v>
      </c>
      <c r="W11" s="6">
        <f t="shared" si="8"/>
        <v>1300</v>
      </c>
    </row>
    <row r="12" spans="1:24" x14ac:dyDescent="0.25">
      <c r="A12" t="s">
        <v>59</v>
      </c>
      <c r="B12" t="s">
        <v>60</v>
      </c>
      <c r="C12" t="s">
        <v>61</v>
      </c>
      <c r="D12" t="s">
        <v>23</v>
      </c>
      <c r="E12" s="6">
        <f>ROUND('EVSE Products-NY'!E12*(1+'EVSE Products-MA'!$A$53),0)</f>
        <v>2750</v>
      </c>
      <c r="F12" s="2">
        <v>750</v>
      </c>
      <c r="G12" s="2">
        <v>250</v>
      </c>
      <c r="H12" s="2">
        <v>250</v>
      </c>
      <c r="I12" s="2">
        <v>750</v>
      </c>
      <c r="J12" s="2">
        <v>1250</v>
      </c>
      <c r="K12" s="2">
        <v>150</v>
      </c>
      <c r="L12" s="2">
        <v>450</v>
      </c>
      <c r="M12" s="2">
        <v>750</v>
      </c>
      <c r="N12" s="2">
        <v>175</v>
      </c>
      <c r="O12">
        <v>1</v>
      </c>
      <c r="P12" t="s">
        <v>24</v>
      </c>
      <c r="Q12" t="s">
        <v>25</v>
      </c>
      <c r="R12" s="2">
        <f t="shared" si="3"/>
        <v>875</v>
      </c>
      <c r="S12" s="6">
        <f t="shared" si="4"/>
        <v>1000</v>
      </c>
      <c r="T12" s="2">
        <f t="shared" si="5"/>
        <v>625</v>
      </c>
      <c r="U12" s="6">
        <f t="shared" si="6"/>
        <v>700</v>
      </c>
      <c r="V12" s="2">
        <f t="shared" si="7"/>
        <v>1125</v>
      </c>
      <c r="W12" s="6">
        <f t="shared" si="8"/>
        <v>1300</v>
      </c>
    </row>
    <row r="13" spans="1:24" x14ac:dyDescent="0.25">
      <c r="A13" t="s">
        <v>20</v>
      </c>
      <c r="B13" t="s">
        <v>21</v>
      </c>
      <c r="C13" t="s">
        <v>22</v>
      </c>
      <c r="D13" t="s">
        <v>23</v>
      </c>
      <c r="E13" s="6">
        <f>ROUND('EVSE Products-NY'!E13*(1+'EVSE Products-MA'!$A$53),0)</f>
        <v>5855</v>
      </c>
      <c r="F13" s="2">
        <v>2750</v>
      </c>
      <c r="G13" s="2">
        <v>500</v>
      </c>
      <c r="H13" s="2">
        <v>500</v>
      </c>
      <c r="I13" s="2">
        <v>1500</v>
      </c>
      <c r="J13" s="2">
        <v>2500</v>
      </c>
      <c r="K13" s="2">
        <v>300</v>
      </c>
      <c r="L13" s="2">
        <v>900</v>
      </c>
      <c r="M13" s="2">
        <v>1500</v>
      </c>
      <c r="N13" s="2">
        <v>350</v>
      </c>
      <c r="O13">
        <v>2</v>
      </c>
      <c r="P13" t="s">
        <v>24</v>
      </c>
      <c r="Q13" t="s">
        <v>25</v>
      </c>
      <c r="R13" s="2">
        <f>1400*1.25</f>
        <v>1750</v>
      </c>
      <c r="S13" s="2">
        <f>R13*(1+$X$1)</f>
        <v>1925.0000000000002</v>
      </c>
      <c r="T13" s="2">
        <f>1000*1.25</f>
        <v>1250</v>
      </c>
      <c r="U13" s="2">
        <f t="shared" si="1"/>
        <v>1375</v>
      </c>
      <c r="V13" s="2">
        <f>1800*1.25</f>
        <v>2250</v>
      </c>
      <c r="W13" s="2">
        <f t="shared" si="2"/>
        <v>2475</v>
      </c>
    </row>
    <row r="14" spans="1:24" x14ac:dyDescent="0.25">
      <c r="A14" t="s">
        <v>32</v>
      </c>
      <c r="B14" t="s">
        <v>33</v>
      </c>
      <c r="C14" t="s">
        <v>34</v>
      </c>
      <c r="D14" t="s">
        <v>23</v>
      </c>
      <c r="E14" s="6">
        <f>ROUND('EVSE Products-NY'!E14*(1+'EVSE Products-MA'!$A$53),0)</f>
        <v>5855</v>
      </c>
      <c r="F14" s="2">
        <v>2750</v>
      </c>
      <c r="G14" s="2">
        <v>500</v>
      </c>
      <c r="H14" s="2">
        <v>500</v>
      </c>
      <c r="I14" s="2">
        <v>1500</v>
      </c>
      <c r="J14" s="2">
        <v>2500</v>
      </c>
      <c r="K14" s="2">
        <v>300</v>
      </c>
      <c r="L14" s="2">
        <v>900</v>
      </c>
      <c r="M14" s="2">
        <v>1500</v>
      </c>
      <c r="N14" s="2">
        <v>350</v>
      </c>
      <c r="O14">
        <v>2</v>
      </c>
      <c r="P14" t="s">
        <v>24</v>
      </c>
      <c r="Q14" t="s">
        <v>25</v>
      </c>
      <c r="R14" s="2">
        <f t="shared" ref="R14:R16" si="9">1400*1.25</f>
        <v>1750</v>
      </c>
      <c r="S14" s="2">
        <f t="shared" si="0"/>
        <v>1925.0000000000002</v>
      </c>
      <c r="T14" s="2">
        <f t="shared" ref="T14:T16" si="10">1000*1.25</f>
        <v>1250</v>
      </c>
      <c r="U14" s="2">
        <f t="shared" si="1"/>
        <v>1375</v>
      </c>
      <c r="V14" s="2">
        <f t="shared" ref="V14:V16" si="11">1800*1.25</f>
        <v>2250</v>
      </c>
      <c r="W14" s="2">
        <f t="shared" si="2"/>
        <v>2475</v>
      </c>
    </row>
    <row r="15" spans="1:24" x14ac:dyDescent="0.25">
      <c r="A15" t="s">
        <v>41</v>
      </c>
      <c r="B15" t="s">
        <v>42</v>
      </c>
      <c r="C15" t="s">
        <v>43</v>
      </c>
      <c r="D15" t="s">
        <v>23</v>
      </c>
      <c r="E15" s="6">
        <f>ROUND('EVSE Products-NY'!E15*(1+'EVSE Products-MA'!$A$53),0)</f>
        <v>5855</v>
      </c>
      <c r="F15" s="2">
        <v>2750</v>
      </c>
      <c r="G15" s="2">
        <v>500</v>
      </c>
      <c r="H15" s="2">
        <v>500</v>
      </c>
      <c r="I15" s="2">
        <v>1500</v>
      </c>
      <c r="J15" s="2">
        <v>2500</v>
      </c>
      <c r="K15" s="2">
        <v>300</v>
      </c>
      <c r="L15" s="2">
        <v>900</v>
      </c>
      <c r="M15" s="2">
        <v>1500</v>
      </c>
      <c r="N15" s="2">
        <v>350</v>
      </c>
      <c r="O15">
        <v>2</v>
      </c>
      <c r="P15" t="s">
        <v>24</v>
      </c>
      <c r="Q15" t="s">
        <v>25</v>
      </c>
      <c r="R15" s="2">
        <f t="shared" si="9"/>
        <v>1750</v>
      </c>
      <c r="S15" s="2">
        <f t="shared" si="0"/>
        <v>1925.0000000000002</v>
      </c>
      <c r="T15" s="2">
        <f t="shared" si="10"/>
        <v>1250</v>
      </c>
      <c r="U15" s="2">
        <f t="shared" si="1"/>
        <v>1375</v>
      </c>
      <c r="V15" s="2">
        <f t="shared" si="11"/>
        <v>2250</v>
      </c>
      <c r="W15" s="2">
        <f t="shared" si="2"/>
        <v>2475</v>
      </c>
    </row>
    <row r="16" spans="1:24" x14ac:dyDescent="0.25">
      <c r="A16" t="s">
        <v>50</v>
      </c>
      <c r="B16" t="s">
        <v>51</v>
      </c>
      <c r="C16" t="s">
        <v>52</v>
      </c>
      <c r="D16" t="s">
        <v>23</v>
      </c>
      <c r="E16" s="6">
        <f>ROUND('EVSE Products-NY'!E16*(1+'EVSE Products-MA'!$A$53),0)</f>
        <v>5855</v>
      </c>
      <c r="F16" s="2">
        <v>2750</v>
      </c>
      <c r="G16" s="2">
        <v>500</v>
      </c>
      <c r="H16" s="2">
        <v>500</v>
      </c>
      <c r="I16" s="2">
        <v>1500</v>
      </c>
      <c r="J16" s="2">
        <v>2500</v>
      </c>
      <c r="K16" s="2">
        <v>300</v>
      </c>
      <c r="L16" s="2">
        <v>900</v>
      </c>
      <c r="M16" s="2">
        <v>1500</v>
      </c>
      <c r="N16" s="2">
        <v>350</v>
      </c>
      <c r="O16">
        <v>2</v>
      </c>
      <c r="P16" t="s">
        <v>24</v>
      </c>
      <c r="Q16" t="s">
        <v>25</v>
      </c>
      <c r="R16" s="2">
        <f t="shared" si="9"/>
        <v>1750</v>
      </c>
      <c r="S16" s="2">
        <f t="shared" si="0"/>
        <v>1925.0000000000002</v>
      </c>
      <c r="T16" s="2">
        <f t="shared" si="10"/>
        <v>1250</v>
      </c>
      <c r="U16" s="2">
        <f t="shared" si="1"/>
        <v>1375</v>
      </c>
      <c r="V16" s="2">
        <f t="shared" si="11"/>
        <v>2250</v>
      </c>
      <c r="W16" s="2">
        <f t="shared" si="2"/>
        <v>2475</v>
      </c>
    </row>
    <row r="17" spans="1:23" x14ac:dyDescent="0.25">
      <c r="A17" t="s">
        <v>69</v>
      </c>
      <c r="B17" t="s">
        <v>70</v>
      </c>
      <c r="C17" t="s">
        <v>71</v>
      </c>
      <c r="D17" t="s">
        <v>23</v>
      </c>
      <c r="E17" s="6">
        <f>ROUND('EVSE Products-NY'!E19*(1+'EVSE Products-MA'!$A$53),0)</f>
        <v>52906</v>
      </c>
      <c r="F17" s="2">
        <v>36072</v>
      </c>
      <c r="G17" s="2">
        <v>680</v>
      </c>
      <c r="H17" s="2">
        <v>680</v>
      </c>
      <c r="I17" s="2">
        <v>2040</v>
      </c>
      <c r="J17" s="2">
        <v>3400</v>
      </c>
      <c r="K17" s="2">
        <v>480</v>
      </c>
      <c r="L17" s="2">
        <v>1440</v>
      </c>
      <c r="M17" s="2">
        <v>2400</v>
      </c>
      <c r="N17" s="2">
        <v>1250</v>
      </c>
      <c r="O17">
        <v>2</v>
      </c>
      <c r="P17" t="s">
        <v>24</v>
      </c>
      <c r="Q17" t="s">
        <v>72</v>
      </c>
      <c r="R17" s="2">
        <v>7700</v>
      </c>
      <c r="S17" s="2">
        <f t="shared" si="0"/>
        <v>8470</v>
      </c>
      <c r="T17" s="2">
        <v>3100</v>
      </c>
      <c r="U17" s="2">
        <f t="shared" si="1"/>
        <v>3410.0000000000005</v>
      </c>
      <c r="V17" s="6">
        <f>((R17-T17)*2)+T17</f>
        <v>12300</v>
      </c>
      <c r="W17" s="2">
        <f t="shared" si="2"/>
        <v>13530.000000000002</v>
      </c>
    </row>
    <row r="18" spans="1:23" x14ac:dyDescent="0.25">
      <c r="A18" t="s">
        <v>73</v>
      </c>
      <c r="B18" t="s">
        <v>74</v>
      </c>
      <c r="C18" t="s">
        <v>75</v>
      </c>
      <c r="D18" t="s">
        <v>23</v>
      </c>
      <c r="E18" s="6">
        <f>ROUND('EVSE Products-NY'!E20*(1+'EVSE Products-MA'!$A$53),0)</f>
        <v>57341</v>
      </c>
      <c r="F18" s="2">
        <v>39096</v>
      </c>
      <c r="G18" s="2">
        <v>680</v>
      </c>
      <c r="H18" s="2">
        <v>680</v>
      </c>
      <c r="I18" s="2">
        <v>2040</v>
      </c>
      <c r="J18" s="2">
        <v>3400</v>
      </c>
      <c r="K18" s="2">
        <v>480</v>
      </c>
      <c r="L18" s="2">
        <v>1440</v>
      </c>
      <c r="M18" s="2">
        <v>2400</v>
      </c>
      <c r="N18" s="2">
        <v>1250</v>
      </c>
      <c r="O18">
        <v>2</v>
      </c>
      <c r="P18" t="s">
        <v>24</v>
      </c>
      <c r="Q18" t="s">
        <v>72</v>
      </c>
      <c r="R18" s="2">
        <v>10000</v>
      </c>
      <c r="S18" s="2">
        <f t="shared" si="0"/>
        <v>11000</v>
      </c>
      <c r="T18" s="2">
        <v>4000</v>
      </c>
      <c r="U18" s="2">
        <f t="shared" si="1"/>
        <v>4400</v>
      </c>
      <c r="V18" s="6">
        <f t="shared" ref="V18:V27" si="12">((R18-T18)*2)+T18</f>
        <v>16000</v>
      </c>
      <c r="W18" s="2">
        <f t="shared" si="2"/>
        <v>17600</v>
      </c>
    </row>
    <row r="19" spans="1:23" x14ac:dyDescent="0.25">
      <c r="A19" t="s">
        <v>76</v>
      </c>
      <c r="B19" t="s">
        <v>77</v>
      </c>
      <c r="C19" t="s">
        <v>78</v>
      </c>
      <c r="D19" t="s">
        <v>23</v>
      </c>
      <c r="E19" s="6">
        <f>ROUND('EVSE Products-NY'!E21*(1+'EVSE Products-MA'!$A$53),0)</f>
        <v>70805</v>
      </c>
      <c r="F19" s="2">
        <v>48276</v>
      </c>
      <c r="G19" s="2">
        <v>680</v>
      </c>
      <c r="H19" s="2">
        <v>680</v>
      </c>
      <c r="I19" s="2">
        <v>2040</v>
      </c>
      <c r="J19" s="2">
        <v>3400</v>
      </c>
      <c r="K19" s="2">
        <v>480</v>
      </c>
      <c r="L19" s="2">
        <v>1440</v>
      </c>
      <c r="M19" s="2">
        <v>2400</v>
      </c>
      <c r="N19" s="2">
        <v>1250</v>
      </c>
      <c r="O19">
        <v>2</v>
      </c>
      <c r="P19" t="s">
        <v>24</v>
      </c>
      <c r="Q19" t="s">
        <v>72</v>
      </c>
      <c r="R19" s="2">
        <v>12200</v>
      </c>
      <c r="S19" s="2">
        <f t="shared" si="0"/>
        <v>13420.000000000002</v>
      </c>
      <c r="T19" s="2">
        <v>4900</v>
      </c>
      <c r="U19" s="2">
        <f t="shared" si="1"/>
        <v>5390</v>
      </c>
      <c r="V19" s="6">
        <f t="shared" si="12"/>
        <v>19500</v>
      </c>
      <c r="W19" s="2">
        <f t="shared" si="2"/>
        <v>21450</v>
      </c>
    </row>
    <row r="20" spans="1:23" x14ac:dyDescent="0.25">
      <c r="A20" t="s">
        <v>79</v>
      </c>
      <c r="B20" t="s">
        <v>80</v>
      </c>
      <c r="C20" t="s">
        <v>81</v>
      </c>
      <c r="D20" t="s">
        <v>23</v>
      </c>
      <c r="E20" s="6">
        <f>ROUND('EVSE Products-NY'!E22*(1+'EVSE Products-MA'!$A$53),0)</f>
        <v>87120</v>
      </c>
      <c r="F20" s="2">
        <v>59400</v>
      </c>
      <c r="G20" s="2">
        <v>680</v>
      </c>
      <c r="H20" s="2">
        <v>680</v>
      </c>
      <c r="I20" s="2">
        <v>2040</v>
      </c>
      <c r="J20" s="2">
        <v>3400</v>
      </c>
      <c r="K20" s="2">
        <v>480</v>
      </c>
      <c r="L20" s="2">
        <v>1440</v>
      </c>
      <c r="M20" s="2">
        <v>2400</v>
      </c>
      <c r="N20" s="2">
        <v>1250</v>
      </c>
      <c r="O20">
        <v>2</v>
      </c>
      <c r="P20" t="s">
        <v>24</v>
      </c>
      <c r="Q20" t="s">
        <v>72</v>
      </c>
      <c r="R20" s="2">
        <v>14500</v>
      </c>
      <c r="S20" s="2">
        <f t="shared" si="0"/>
        <v>15950.000000000002</v>
      </c>
      <c r="T20" s="2">
        <v>5800</v>
      </c>
      <c r="U20" s="2">
        <f t="shared" si="1"/>
        <v>6380.0000000000009</v>
      </c>
      <c r="V20" s="6">
        <f t="shared" si="12"/>
        <v>23200</v>
      </c>
      <c r="W20" s="2">
        <f t="shared" si="2"/>
        <v>25520.000000000004</v>
      </c>
    </row>
    <row r="21" spans="1:23" x14ac:dyDescent="0.25">
      <c r="A21" t="s">
        <v>82</v>
      </c>
      <c r="B21" t="s">
        <v>83</v>
      </c>
      <c r="C21" t="s">
        <v>84</v>
      </c>
      <c r="D21" t="s">
        <v>23</v>
      </c>
      <c r="E21" s="6">
        <f>ROUND('EVSE Products-NY'!E23*(1+'EVSE Products-MA'!$A$53),0)</f>
        <v>52906</v>
      </c>
      <c r="F21" s="2">
        <v>36072</v>
      </c>
      <c r="G21" s="2">
        <v>680</v>
      </c>
      <c r="H21" s="2">
        <v>680</v>
      </c>
      <c r="I21" s="2">
        <v>2040</v>
      </c>
      <c r="J21" s="2">
        <v>3400</v>
      </c>
      <c r="K21" s="2">
        <v>480</v>
      </c>
      <c r="L21" s="2">
        <v>1440</v>
      </c>
      <c r="M21" s="2">
        <v>2400</v>
      </c>
      <c r="N21" s="2">
        <v>1250</v>
      </c>
      <c r="O21">
        <v>2</v>
      </c>
      <c r="P21" t="s">
        <v>24</v>
      </c>
      <c r="Q21" t="s">
        <v>72</v>
      </c>
      <c r="R21" s="2">
        <v>7700</v>
      </c>
      <c r="S21" s="2">
        <f t="shared" si="0"/>
        <v>8470</v>
      </c>
      <c r="T21" s="2">
        <v>3100</v>
      </c>
      <c r="U21" s="2">
        <f t="shared" si="1"/>
        <v>3410.0000000000005</v>
      </c>
      <c r="V21" s="6">
        <f t="shared" si="12"/>
        <v>12300</v>
      </c>
      <c r="W21" s="2">
        <f t="shared" si="2"/>
        <v>13530.000000000002</v>
      </c>
    </row>
    <row r="22" spans="1:23" x14ac:dyDescent="0.25">
      <c r="A22" t="s">
        <v>85</v>
      </c>
      <c r="B22" t="s">
        <v>86</v>
      </c>
      <c r="C22" t="s">
        <v>87</v>
      </c>
      <c r="D22" t="s">
        <v>23</v>
      </c>
      <c r="E22" s="6">
        <f>ROUND('EVSE Products-NY'!E24*(1+'EVSE Products-MA'!$A$53),0)</f>
        <v>57341</v>
      </c>
      <c r="F22" s="2">
        <v>39096</v>
      </c>
      <c r="G22" s="2">
        <v>680</v>
      </c>
      <c r="H22" s="2">
        <v>680</v>
      </c>
      <c r="I22" s="2">
        <v>2040</v>
      </c>
      <c r="J22" s="2">
        <v>3400</v>
      </c>
      <c r="K22" s="2">
        <v>480</v>
      </c>
      <c r="L22" s="2">
        <v>1440</v>
      </c>
      <c r="M22" s="2">
        <v>2400</v>
      </c>
      <c r="N22" s="2">
        <v>1250</v>
      </c>
      <c r="O22">
        <v>2</v>
      </c>
      <c r="P22" t="s">
        <v>24</v>
      </c>
      <c r="Q22" t="s">
        <v>72</v>
      </c>
      <c r="R22" s="2">
        <v>10000</v>
      </c>
      <c r="S22" s="2">
        <f t="shared" si="0"/>
        <v>11000</v>
      </c>
      <c r="T22" s="2">
        <v>4000</v>
      </c>
      <c r="U22" s="2">
        <f t="shared" si="1"/>
        <v>4400</v>
      </c>
      <c r="V22" s="6">
        <f t="shared" si="12"/>
        <v>16000</v>
      </c>
      <c r="W22" s="2">
        <f t="shared" si="2"/>
        <v>17600</v>
      </c>
    </row>
    <row r="23" spans="1:23" x14ac:dyDescent="0.25">
      <c r="A23" t="s">
        <v>88</v>
      </c>
      <c r="B23" t="s">
        <v>89</v>
      </c>
      <c r="C23" t="s">
        <v>90</v>
      </c>
      <c r="D23" t="s">
        <v>23</v>
      </c>
      <c r="E23" s="6">
        <f>ROUND('EVSE Products-NY'!E25*(1+'EVSE Products-MA'!$A$53),0)</f>
        <v>70805</v>
      </c>
      <c r="F23" s="2">
        <v>48276</v>
      </c>
      <c r="G23" s="2">
        <v>680</v>
      </c>
      <c r="H23" s="2">
        <v>680</v>
      </c>
      <c r="I23" s="2">
        <v>2040</v>
      </c>
      <c r="J23" s="2">
        <v>3400</v>
      </c>
      <c r="K23" s="2">
        <v>480</v>
      </c>
      <c r="L23" s="2">
        <v>1440</v>
      </c>
      <c r="M23" s="2">
        <v>2400</v>
      </c>
      <c r="N23" s="2">
        <v>1250</v>
      </c>
      <c r="O23">
        <v>2</v>
      </c>
      <c r="P23" t="s">
        <v>24</v>
      </c>
      <c r="Q23" t="s">
        <v>72</v>
      </c>
      <c r="R23" s="2">
        <v>12200</v>
      </c>
      <c r="S23" s="2">
        <f t="shared" si="0"/>
        <v>13420.000000000002</v>
      </c>
      <c r="T23" s="2">
        <v>4900</v>
      </c>
      <c r="U23" s="2">
        <f t="shared" si="1"/>
        <v>5390</v>
      </c>
      <c r="V23" s="6">
        <f t="shared" si="12"/>
        <v>19500</v>
      </c>
      <c r="W23" s="2">
        <f t="shared" si="2"/>
        <v>21450</v>
      </c>
    </row>
    <row r="24" spans="1:23" x14ac:dyDescent="0.25">
      <c r="A24" t="s">
        <v>91</v>
      </c>
      <c r="B24" t="s">
        <v>92</v>
      </c>
      <c r="C24" t="s">
        <v>93</v>
      </c>
      <c r="D24" t="s">
        <v>23</v>
      </c>
      <c r="E24" s="6">
        <f>ROUND('EVSE Products-NY'!E26*(1+'EVSE Products-MA'!$A$53),0)</f>
        <v>87120</v>
      </c>
      <c r="F24" s="2">
        <v>59400</v>
      </c>
      <c r="G24" s="2">
        <v>680</v>
      </c>
      <c r="H24" s="2">
        <v>680</v>
      </c>
      <c r="I24" s="2">
        <v>2040</v>
      </c>
      <c r="J24" s="2">
        <v>3400</v>
      </c>
      <c r="K24" s="2">
        <v>480</v>
      </c>
      <c r="L24" s="2">
        <v>1440</v>
      </c>
      <c r="M24" s="2">
        <v>2400</v>
      </c>
      <c r="N24" s="2">
        <v>1250</v>
      </c>
      <c r="O24">
        <v>2</v>
      </c>
      <c r="P24" t="s">
        <v>24</v>
      </c>
      <c r="Q24" t="s">
        <v>72</v>
      </c>
      <c r="R24" s="2">
        <v>14500</v>
      </c>
      <c r="S24" s="2">
        <f t="shared" si="0"/>
        <v>15950.000000000002</v>
      </c>
      <c r="T24" s="2">
        <v>5800</v>
      </c>
      <c r="U24" s="2">
        <f t="shared" si="1"/>
        <v>6380.0000000000009</v>
      </c>
      <c r="V24" s="6">
        <f t="shared" si="12"/>
        <v>23200</v>
      </c>
      <c r="W24" s="2">
        <f t="shared" si="2"/>
        <v>25520.000000000004</v>
      </c>
    </row>
    <row r="25" spans="1:23" x14ac:dyDescent="0.25">
      <c r="A25" t="s">
        <v>103</v>
      </c>
      <c r="B25" t="s">
        <v>104</v>
      </c>
      <c r="C25" t="s">
        <v>105</v>
      </c>
      <c r="D25" t="s">
        <v>23</v>
      </c>
      <c r="E25" s="6">
        <f>ROUND('EVSE Products-NY'!E27*(1+'EVSE Products-MA'!$A$53),0)</f>
        <v>161334</v>
      </c>
      <c r="F25" s="2">
        <v>110000</v>
      </c>
      <c r="G25" s="2">
        <v>680</v>
      </c>
      <c r="H25" s="2">
        <v>680</v>
      </c>
      <c r="I25" s="2">
        <v>2040</v>
      </c>
      <c r="J25" s="2">
        <v>3400</v>
      </c>
      <c r="K25" s="2">
        <v>480</v>
      </c>
      <c r="L25" s="2">
        <v>1440</v>
      </c>
      <c r="M25" s="2">
        <v>2400</v>
      </c>
      <c r="N25" s="2">
        <v>1250</v>
      </c>
      <c r="O25">
        <v>2</v>
      </c>
      <c r="P25" t="s">
        <v>24</v>
      </c>
      <c r="Q25" t="s">
        <v>72</v>
      </c>
      <c r="R25" s="2">
        <v>25000</v>
      </c>
      <c r="S25" s="2">
        <f t="shared" si="0"/>
        <v>27500.000000000004</v>
      </c>
      <c r="T25" s="2">
        <v>20000</v>
      </c>
      <c r="U25" s="2">
        <f t="shared" si="1"/>
        <v>22000</v>
      </c>
      <c r="V25" s="2">
        <f t="shared" si="12"/>
        <v>30000</v>
      </c>
      <c r="W25" s="2">
        <f t="shared" si="2"/>
        <v>33000</v>
      </c>
    </row>
    <row r="26" spans="1:23" x14ac:dyDescent="0.25">
      <c r="A26" t="s">
        <v>106</v>
      </c>
      <c r="B26" t="s">
        <v>107</v>
      </c>
      <c r="C26" t="s">
        <v>108</v>
      </c>
      <c r="D26" t="s">
        <v>23</v>
      </c>
      <c r="E26" s="6">
        <f>ROUND('EVSE Products-NY'!E28*(1+'EVSE Products-MA'!$A$53),0)</f>
        <v>161334</v>
      </c>
      <c r="F26" s="2">
        <v>110000</v>
      </c>
      <c r="G26" s="2">
        <v>680</v>
      </c>
      <c r="H26" s="2">
        <v>680</v>
      </c>
      <c r="I26" s="2">
        <v>2040</v>
      </c>
      <c r="J26" s="2">
        <v>3400</v>
      </c>
      <c r="K26" s="2">
        <v>480</v>
      </c>
      <c r="L26" s="2">
        <v>1440</v>
      </c>
      <c r="M26" s="2">
        <v>2400</v>
      </c>
      <c r="N26" s="2">
        <v>1250</v>
      </c>
      <c r="O26">
        <v>2</v>
      </c>
      <c r="P26" t="s">
        <v>24</v>
      </c>
      <c r="Q26" t="s">
        <v>72</v>
      </c>
      <c r="R26" s="2">
        <v>25000</v>
      </c>
      <c r="S26" s="2">
        <f t="shared" si="0"/>
        <v>27500.000000000004</v>
      </c>
      <c r="T26" s="2">
        <v>20000</v>
      </c>
      <c r="U26" s="2">
        <f t="shared" si="1"/>
        <v>22000</v>
      </c>
      <c r="V26" s="2">
        <f t="shared" si="12"/>
        <v>30000</v>
      </c>
      <c r="W26" s="2">
        <f t="shared" si="2"/>
        <v>33000</v>
      </c>
    </row>
    <row r="27" spans="1:23" x14ac:dyDescent="0.25">
      <c r="A27" t="s">
        <v>109</v>
      </c>
      <c r="B27" t="s">
        <v>110</v>
      </c>
      <c r="C27" t="s">
        <v>111</v>
      </c>
      <c r="D27" t="s">
        <v>23</v>
      </c>
      <c r="E27" s="6">
        <f>ROUND('EVSE Products-NY'!E29*(1+'EVSE Products-MA'!$A$53),0)</f>
        <v>161334</v>
      </c>
      <c r="F27" s="2">
        <v>110000</v>
      </c>
      <c r="G27" s="2">
        <v>680</v>
      </c>
      <c r="H27" s="2">
        <v>680</v>
      </c>
      <c r="I27" s="2">
        <v>2040</v>
      </c>
      <c r="J27" s="2">
        <v>3400</v>
      </c>
      <c r="K27" s="2">
        <v>480</v>
      </c>
      <c r="L27" s="2">
        <v>1440</v>
      </c>
      <c r="M27" s="2">
        <v>2400</v>
      </c>
      <c r="N27" s="2">
        <v>1250</v>
      </c>
      <c r="O27">
        <v>2</v>
      </c>
      <c r="P27" t="s">
        <v>24</v>
      </c>
      <c r="Q27" t="s">
        <v>72</v>
      </c>
      <c r="R27" s="2">
        <v>25000</v>
      </c>
      <c r="S27" s="2">
        <f t="shared" si="0"/>
        <v>27500.000000000004</v>
      </c>
      <c r="T27" s="2">
        <v>20000</v>
      </c>
      <c r="U27" s="2">
        <f t="shared" si="1"/>
        <v>22000</v>
      </c>
      <c r="V27" s="2">
        <f t="shared" si="12"/>
        <v>30000</v>
      </c>
      <c r="W27" s="2">
        <f t="shared" si="2"/>
        <v>33000</v>
      </c>
    </row>
    <row r="28" spans="1:23" x14ac:dyDescent="0.25">
      <c r="A28" t="s">
        <v>94</v>
      </c>
      <c r="B28" t="s">
        <v>95</v>
      </c>
      <c r="C28" t="s">
        <v>96</v>
      </c>
      <c r="D28" t="s">
        <v>23</v>
      </c>
      <c r="E28" s="6">
        <f>ROUND('EVSE Products-NY'!E30*(1+'EVSE Products-MA'!$A$53),0)</f>
        <v>216626</v>
      </c>
      <c r="F28" s="2">
        <v>147700</v>
      </c>
      <c r="G28" s="2">
        <v>1360</v>
      </c>
      <c r="H28" s="2">
        <v>1360</v>
      </c>
      <c r="I28" s="2">
        <v>4080</v>
      </c>
      <c r="J28" s="2">
        <v>6800</v>
      </c>
      <c r="K28" s="2">
        <v>960</v>
      </c>
      <c r="L28" s="2">
        <v>2880</v>
      </c>
      <c r="M28" s="2">
        <v>4800</v>
      </c>
      <c r="N28" s="2">
        <v>1250</v>
      </c>
      <c r="O28">
        <v>4</v>
      </c>
      <c r="P28" t="s">
        <v>24</v>
      </c>
      <c r="Q28" t="s">
        <v>72</v>
      </c>
      <c r="R28" s="6">
        <f>R25*2</f>
        <v>50000</v>
      </c>
      <c r="S28" s="2">
        <f t="shared" si="0"/>
        <v>55000.000000000007</v>
      </c>
      <c r="T28" s="6">
        <f>T25*2</f>
        <v>40000</v>
      </c>
      <c r="U28" s="2">
        <f t="shared" si="1"/>
        <v>44000</v>
      </c>
      <c r="V28" s="6">
        <f>V25*2</f>
        <v>60000</v>
      </c>
      <c r="W28" s="2">
        <f t="shared" si="2"/>
        <v>66000</v>
      </c>
    </row>
    <row r="29" spans="1:23" x14ac:dyDescent="0.25">
      <c r="A29" t="s">
        <v>97</v>
      </c>
      <c r="B29" t="s">
        <v>98</v>
      </c>
      <c r="C29" t="s">
        <v>99</v>
      </c>
      <c r="D29" t="s">
        <v>23</v>
      </c>
      <c r="E29" s="6">
        <f>ROUND('EVSE Products-NY'!E31*(1+'EVSE Products-MA'!$A$53),0)</f>
        <v>216626</v>
      </c>
      <c r="F29" s="2">
        <v>147700</v>
      </c>
      <c r="G29" s="2">
        <v>1360</v>
      </c>
      <c r="H29" s="2">
        <v>1360</v>
      </c>
      <c r="I29" s="2">
        <v>4080</v>
      </c>
      <c r="J29" s="2">
        <v>6800</v>
      </c>
      <c r="K29" s="2">
        <v>960</v>
      </c>
      <c r="L29" s="2">
        <v>2880</v>
      </c>
      <c r="M29" s="2">
        <v>4800</v>
      </c>
      <c r="N29" s="2">
        <v>1250</v>
      </c>
      <c r="O29">
        <v>4</v>
      </c>
      <c r="P29" t="s">
        <v>24</v>
      </c>
      <c r="Q29" t="s">
        <v>72</v>
      </c>
      <c r="R29" s="6">
        <f t="shared" ref="R29:T30" si="13">R26*2</f>
        <v>50000</v>
      </c>
      <c r="S29" s="2">
        <f t="shared" si="0"/>
        <v>55000.000000000007</v>
      </c>
      <c r="T29" s="6">
        <f t="shared" si="13"/>
        <v>40000</v>
      </c>
      <c r="U29" s="2">
        <f t="shared" si="1"/>
        <v>44000</v>
      </c>
      <c r="V29" s="6">
        <f t="shared" ref="V29:V30" si="14">V26*2</f>
        <v>60000</v>
      </c>
      <c r="W29" s="2">
        <f t="shared" si="2"/>
        <v>66000</v>
      </c>
    </row>
    <row r="30" spans="1:23" x14ac:dyDescent="0.25">
      <c r="A30" t="s">
        <v>100</v>
      </c>
      <c r="B30" t="s">
        <v>101</v>
      </c>
      <c r="C30" t="s">
        <v>102</v>
      </c>
      <c r="D30" t="s">
        <v>23</v>
      </c>
      <c r="E30" s="6">
        <f>ROUND('EVSE Products-NY'!E32*(1+'EVSE Products-MA'!$A$53),0)</f>
        <v>216626</v>
      </c>
      <c r="F30" s="2">
        <v>147700</v>
      </c>
      <c r="G30" s="2">
        <v>1360</v>
      </c>
      <c r="H30" s="2">
        <v>1360</v>
      </c>
      <c r="I30" s="2">
        <v>4080</v>
      </c>
      <c r="J30" s="2">
        <v>6800</v>
      </c>
      <c r="K30" s="2">
        <v>960</v>
      </c>
      <c r="L30" s="2">
        <v>2880</v>
      </c>
      <c r="M30" s="2">
        <v>4800</v>
      </c>
      <c r="N30" s="2">
        <v>1250</v>
      </c>
      <c r="O30">
        <v>4</v>
      </c>
      <c r="P30" t="s">
        <v>24</v>
      </c>
      <c r="Q30" t="s">
        <v>72</v>
      </c>
      <c r="R30" s="6">
        <f t="shared" si="13"/>
        <v>50000</v>
      </c>
      <c r="S30" s="2">
        <f t="shared" si="0"/>
        <v>55000.000000000007</v>
      </c>
      <c r="T30" s="6">
        <f t="shared" si="13"/>
        <v>40000</v>
      </c>
      <c r="U30" s="2">
        <f t="shared" si="1"/>
        <v>44000</v>
      </c>
      <c r="V30" s="6">
        <f t="shared" si="14"/>
        <v>60000</v>
      </c>
      <c r="W30" s="2">
        <f t="shared" si="2"/>
        <v>66000</v>
      </c>
    </row>
    <row r="53" spans="1:1" ht="21" x14ac:dyDescent="0.35">
      <c r="A53" s="7">
        <v>0.1</v>
      </c>
    </row>
    <row r="54" spans="1:1" x14ac:dyDescent="0.25">
      <c r="A54" s="9" t="s">
        <v>368</v>
      </c>
    </row>
  </sheetData>
  <autoFilter ref="A1:W1" xr:uid="{00000000-0001-0000-0000-000000000000}">
    <sortState xmlns:xlrd2="http://schemas.microsoft.com/office/spreadsheetml/2017/richdata2" ref="A2:W30">
      <sortCondition ref="O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C62D3-77EC-48F4-946B-78813FDA1D86}">
  <sheetPr>
    <tabColor rgb="FF4CBC88"/>
  </sheetPr>
  <dimension ref="A1:X54"/>
  <sheetViews>
    <sheetView zoomScale="85" zoomScaleNormal="85" workbookViewId="0">
      <pane ySplit="1" topLeftCell="A2" activePane="bottomLeft" state="frozen"/>
      <selection pane="bottomLeft" activeCell="E2" sqref="E2:E30"/>
    </sheetView>
  </sheetViews>
  <sheetFormatPr defaultRowHeight="15" x14ac:dyDescent="0.25"/>
  <cols>
    <col min="1" max="1" width="30" customWidth="1"/>
    <col min="2" max="2" width="60" customWidth="1"/>
    <col min="3" max="3" width="70" customWidth="1"/>
    <col min="4" max="6" width="15" customWidth="1"/>
    <col min="7" max="7" width="22" customWidth="1"/>
    <col min="8" max="13" width="20" customWidth="1"/>
    <col min="14" max="14" width="15" customWidth="1"/>
    <col min="15" max="15" width="17" customWidth="1"/>
    <col min="16" max="18" width="15" customWidth="1"/>
    <col min="19" max="23" width="24" customWidth="1"/>
  </cols>
  <sheetData>
    <row r="1" spans="1:24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365</v>
      </c>
      <c r="S1" s="1" t="s">
        <v>17</v>
      </c>
      <c r="T1" s="5" t="s">
        <v>366</v>
      </c>
      <c r="U1" s="1" t="s">
        <v>18</v>
      </c>
      <c r="V1" s="5" t="s">
        <v>367</v>
      </c>
      <c r="W1" s="1" t="s">
        <v>19</v>
      </c>
      <c r="X1" s="4">
        <v>0.1</v>
      </c>
    </row>
    <row r="2" spans="1:24" x14ac:dyDescent="0.25">
      <c r="A2" t="s">
        <v>62</v>
      </c>
      <c r="B2" t="s">
        <v>63</v>
      </c>
      <c r="C2" t="s">
        <v>64</v>
      </c>
      <c r="D2" t="s">
        <v>23</v>
      </c>
      <c r="E2" s="6">
        <f>ROUND('EVSE Products-NY'!E2*(1+$A$53),0)</f>
        <v>1050</v>
      </c>
      <c r="F2" s="2">
        <v>500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>
        <v>0</v>
      </c>
      <c r="P2" t="s">
        <v>65</v>
      </c>
      <c r="Q2" t="s">
        <v>25</v>
      </c>
      <c r="R2" s="2">
        <v>1000</v>
      </c>
      <c r="S2" s="2">
        <f t="shared" ref="S2:S30" si="0">R2*(1+$X$1)</f>
        <v>1100</v>
      </c>
      <c r="T2" s="2">
        <v>750</v>
      </c>
      <c r="U2" s="2">
        <f t="shared" ref="U2:U30" si="1">T2*(1+$X$1)</f>
        <v>825.00000000000011</v>
      </c>
      <c r="V2" s="2">
        <v>1250</v>
      </c>
      <c r="W2" s="2">
        <f t="shared" ref="W2:W30" si="2">V2*(1+$X$1)</f>
        <v>1375</v>
      </c>
    </row>
    <row r="3" spans="1:24" x14ac:dyDescent="0.25">
      <c r="A3" t="s">
        <v>66</v>
      </c>
      <c r="B3" t="s">
        <v>67</v>
      </c>
      <c r="C3" t="s">
        <v>68</v>
      </c>
      <c r="D3" t="s">
        <v>23</v>
      </c>
      <c r="E3" s="6">
        <f>ROUND('EVSE Products-NY'!E3*(1+$A$53),0)</f>
        <v>1050</v>
      </c>
      <c r="F3" s="2">
        <v>500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>
        <v>0</v>
      </c>
      <c r="P3" t="s">
        <v>65</v>
      </c>
      <c r="Q3" t="s">
        <v>25</v>
      </c>
      <c r="R3" s="2">
        <v>1000</v>
      </c>
      <c r="S3" s="2">
        <f t="shared" si="0"/>
        <v>1100</v>
      </c>
      <c r="T3" s="2">
        <v>750</v>
      </c>
      <c r="U3" s="2">
        <f t="shared" si="1"/>
        <v>825.00000000000011</v>
      </c>
      <c r="V3" s="2">
        <v>1250</v>
      </c>
      <c r="W3" s="2">
        <f t="shared" si="2"/>
        <v>1375</v>
      </c>
    </row>
    <row r="4" spans="1:24" x14ac:dyDescent="0.25">
      <c r="A4" t="s">
        <v>26</v>
      </c>
      <c r="B4" t="s">
        <v>27</v>
      </c>
      <c r="C4" t="s">
        <v>28</v>
      </c>
      <c r="D4" t="s">
        <v>23</v>
      </c>
      <c r="E4" s="6">
        <f>ROUND('EVSE Products-NY'!E4*(1+$A$53),0)</f>
        <v>4644</v>
      </c>
      <c r="F4" s="2">
        <v>1580</v>
      </c>
      <c r="G4" s="2">
        <v>250</v>
      </c>
      <c r="H4" s="2">
        <v>250</v>
      </c>
      <c r="I4" s="2">
        <v>750</v>
      </c>
      <c r="J4" s="2">
        <v>1250</v>
      </c>
      <c r="K4" s="2">
        <v>150</v>
      </c>
      <c r="L4" s="2">
        <v>450</v>
      </c>
      <c r="M4" s="2">
        <v>750</v>
      </c>
      <c r="N4" s="2">
        <v>350</v>
      </c>
      <c r="O4">
        <v>1</v>
      </c>
      <c r="P4" t="s">
        <v>24</v>
      </c>
      <c r="Q4" t="s">
        <v>25</v>
      </c>
      <c r="R4" s="2">
        <f>700*1.25</f>
        <v>875</v>
      </c>
      <c r="S4" s="6">
        <f>ROUNDUP(R4*(1+$X$1),-2)</f>
        <v>1000</v>
      </c>
      <c r="T4" s="2">
        <f>500*1.25</f>
        <v>625</v>
      </c>
      <c r="U4" s="6">
        <f>ROUNDUP(T4*(1+$X$1),-2)</f>
        <v>700</v>
      </c>
      <c r="V4" s="2">
        <f>900*1.25</f>
        <v>1125</v>
      </c>
      <c r="W4" s="6">
        <f>ROUNDUP(V4*(1+$X$1),-2)</f>
        <v>1300</v>
      </c>
    </row>
    <row r="5" spans="1:24" x14ac:dyDescent="0.25">
      <c r="A5" t="s">
        <v>29</v>
      </c>
      <c r="B5" t="s">
        <v>30</v>
      </c>
      <c r="C5" t="s">
        <v>31</v>
      </c>
      <c r="D5" t="s">
        <v>23</v>
      </c>
      <c r="E5" s="6">
        <f>ROUND('EVSE Products-NY'!E5*(1+$A$53),0)</f>
        <v>3332</v>
      </c>
      <c r="F5" s="2">
        <v>900</v>
      </c>
      <c r="G5" s="2">
        <v>250</v>
      </c>
      <c r="H5" s="2">
        <v>250</v>
      </c>
      <c r="I5" s="2">
        <v>750</v>
      </c>
      <c r="J5" s="2">
        <v>1250</v>
      </c>
      <c r="K5" s="2">
        <v>150</v>
      </c>
      <c r="L5" s="2">
        <v>450</v>
      </c>
      <c r="M5" s="2">
        <v>750</v>
      </c>
      <c r="N5" s="2">
        <v>350</v>
      </c>
      <c r="O5">
        <v>1</v>
      </c>
      <c r="P5" t="s">
        <v>24</v>
      </c>
      <c r="Q5" t="s">
        <v>25</v>
      </c>
      <c r="R5" s="2">
        <f>700*1.25</f>
        <v>875</v>
      </c>
      <c r="S5" s="6">
        <f>ROUNDUP(R5*(1+$X$1),-2)</f>
        <v>1000</v>
      </c>
      <c r="T5" s="2">
        <f>500*1.25</f>
        <v>625</v>
      </c>
      <c r="U5" s="6">
        <f>ROUNDUP(T5*(1+$X$1),-2)</f>
        <v>700</v>
      </c>
      <c r="V5" s="2">
        <f>900*1.25</f>
        <v>1125</v>
      </c>
      <c r="W5" s="6">
        <f>ROUNDUP(V5*(1+$X$1),-2)</f>
        <v>1300</v>
      </c>
    </row>
    <row r="6" spans="1:24" x14ac:dyDescent="0.25">
      <c r="A6" t="s">
        <v>35</v>
      </c>
      <c r="B6" t="s">
        <v>36</v>
      </c>
      <c r="C6" t="s">
        <v>37</v>
      </c>
      <c r="D6" t="s">
        <v>23</v>
      </c>
      <c r="E6" s="6">
        <f>ROUND('EVSE Products-NY'!E6*(1+$A$53),0)</f>
        <v>4644</v>
      </c>
      <c r="F6" s="2">
        <v>1580</v>
      </c>
      <c r="G6" s="2">
        <v>250</v>
      </c>
      <c r="H6" s="2">
        <v>250</v>
      </c>
      <c r="I6" s="2">
        <v>750</v>
      </c>
      <c r="J6" s="2">
        <v>1250</v>
      </c>
      <c r="K6" s="2">
        <v>150</v>
      </c>
      <c r="L6" s="2">
        <v>450</v>
      </c>
      <c r="M6" s="2">
        <v>750</v>
      </c>
      <c r="N6" s="2">
        <v>350</v>
      </c>
      <c r="O6">
        <v>1</v>
      </c>
      <c r="P6" t="s">
        <v>24</v>
      </c>
      <c r="Q6" t="s">
        <v>25</v>
      </c>
      <c r="R6" s="2">
        <f t="shared" ref="R6:R12" si="3">700*1.25</f>
        <v>875</v>
      </c>
      <c r="S6" s="6">
        <f t="shared" ref="S6:S12" si="4">ROUNDUP(R6*(1+$X$1),-2)</f>
        <v>1000</v>
      </c>
      <c r="T6" s="2">
        <f t="shared" ref="T6:T12" si="5">500*1.25</f>
        <v>625</v>
      </c>
      <c r="U6" s="6">
        <f t="shared" ref="U6:U12" si="6">ROUNDUP(T6*(1+$X$1),-2)</f>
        <v>700</v>
      </c>
      <c r="V6" s="2">
        <f t="shared" ref="V6:V12" si="7">900*1.25</f>
        <v>1125</v>
      </c>
      <c r="W6" s="6">
        <f t="shared" ref="W6:W12" si="8">ROUNDUP(V6*(1+$X$1),-2)</f>
        <v>1300</v>
      </c>
    </row>
    <row r="7" spans="1:24" x14ac:dyDescent="0.25">
      <c r="A7" t="s">
        <v>38</v>
      </c>
      <c r="B7" t="s">
        <v>39</v>
      </c>
      <c r="C7" t="s">
        <v>40</v>
      </c>
      <c r="D7" t="s">
        <v>23</v>
      </c>
      <c r="E7" s="6">
        <f>ROUND('EVSE Products-NY'!E7*(1+$A$53),0)</f>
        <v>3332</v>
      </c>
      <c r="F7" s="2">
        <v>900</v>
      </c>
      <c r="G7" s="2">
        <v>250</v>
      </c>
      <c r="H7" s="2">
        <v>250</v>
      </c>
      <c r="I7" s="2">
        <v>750</v>
      </c>
      <c r="J7" s="2">
        <v>1250</v>
      </c>
      <c r="K7" s="2">
        <v>150</v>
      </c>
      <c r="L7" s="2">
        <v>450</v>
      </c>
      <c r="M7" s="2">
        <v>750</v>
      </c>
      <c r="N7" s="2">
        <v>350</v>
      </c>
      <c r="O7">
        <v>1</v>
      </c>
      <c r="P7" t="s">
        <v>24</v>
      </c>
      <c r="Q7" t="s">
        <v>25</v>
      </c>
      <c r="R7" s="2">
        <f t="shared" si="3"/>
        <v>875</v>
      </c>
      <c r="S7" s="6">
        <f t="shared" si="4"/>
        <v>1000</v>
      </c>
      <c r="T7" s="2">
        <f t="shared" si="5"/>
        <v>625</v>
      </c>
      <c r="U7" s="6">
        <f t="shared" si="6"/>
        <v>700</v>
      </c>
      <c r="V7" s="2">
        <f t="shared" si="7"/>
        <v>1125</v>
      </c>
      <c r="W7" s="6">
        <f t="shared" si="8"/>
        <v>1300</v>
      </c>
    </row>
    <row r="8" spans="1:24" x14ac:dyDescent="0.25">
      <c r="A8" t="s">
        <v>44</v>
      </c>
      <c r="B8" t="s">
        <v>45</v>
      </c>
      <c r="C8" t="s">
        <v>46</v>
      </c>
      <c r="D8" t="s">
        <v>23</v>
      </c>
      <c r="E8" s="6">
        <f>ROUND('EVSE Products-NY'!E8*(1+$A$53),0)</f>
        <v>4644</v>
      </c>
      <c r="F8" s="2">
        <v>1580</v>
      </c>
      <c r="G8" s="2">
        <v>250</v>
      </c>
      <c r="H8" s="2">
        <v>250</v>
      </c>
      <c r="I8" s="2">
        <v>750</v>
      </c>
      <c r="J8" s="2">
        <v>1250</v>
      </c>
      <c r="K8" s="2">
        <v>150</v>
      </c>
      <c r="L8" s="2">
        <v>450</v>
      </c>
      <c r="M8" s="2">
        <v>750</v>
      </c>
      <c r="N8" s="2">
        <v>350</v>
      </c>
      <c r="O8">
        <v>1</v>
      </c>
      <c r="P8" t="s">
        <v>24</v>
      </c>
      <c r="Q8" t="s">
        <v>25</v>
      </c>
      <c r="R8" s="2">
        <f t="shared" si="3"/>
        <v>875</v>
      </c>
      <c r="S8" s="6">
        <f t="shared" si="4"/>
        <v>1000</v>
      </c>
      <c r="T8" s="2">
        <f t="shared" si="5"/>
        <v>625</v>
      </c>
      <c r="U8" s="6">
        <f t="shared" si="6"/>
        <v>700</v>
      </c>
      <c r="V8" s="2">
        <f t="shared" si="7"/>
        <v>1125</v>
      </c>
      <c r="W8" s="6">
        <f t="shared" si="8"/>
        <v>1300</v>
      </c>
    </row>
    <row r="9" spans="1:24" x14ac:dyDescent="0.25">
      <c r="A9" t="s">
        <v>47</v>
      </c>
      <c r="B9" t="s">
        <v>48</v>
      </c>
      <c r="C9" t="s">
        <v>49</v>
      </c>
      <c r="D9" t="s">
        <v>23</v>
      </c>
      <c r="E9" s="6">
        <f>ROUND('EVSE Products-NY'!E9*(1+$A$53),0)</f>
        <v>3332</v>
      </c>
      <c r="F9" s="2">
        <v>900</v>
      </c>
      <c r="G9" s="2">
        <v>250</v>
      </c>
      <c r="H9" s="2">
        <v>250</v>
      </c>
      <c r="I9" s="2">
        <v>750</v>
      </c>
      <c r="J9" s="2">
        <v>1250</v>
      </c>
      <c r="K9" s="2">
        <v>150</v>
      </c>
      <c r="L9" s="2">
        <v>450</v>
      </c>
      <c r="M9" s="2">
        <v>750</v>
      </c>
      <c r="N9" s="2">
        <v>350</v>
      </c>
      <c r="O9">
        <v>1</v>
      </c>
      <c r="P9" t="s">
        <v>24</v>
      </c>
      <c r="Q9" t="s">
        <v>25</v>
      </c>
      <c r="R9" s="2">
        <f t="shared" si="3"/>
        <v>875</v>
      </c>
      <c r="S9" s="6">
        <f t="shared" si="4"/>
        <v>1000</v>
      </c>
      <c r="T9" s="2">
        <f t="shared" si="5"/>
        <v>625</v>
      </c>
      <c r="U9" s="6">
        <f t="shared" si="6"/>
        <v>700</v>
      </c>
      <c r="V9" s="2">
        <f t="shared" si="7"/>
        <v>1125</v>
      </c>
      <c r="W9" s="6">
        <f t="shared" si="8"/>
        <v>1300</v>
      </c>
    </row>
    <row r="10" spans="1:24" x14ac:dyDescent="0.25">
      <c r="A10" t="s">
        <v>53</v>
      </c>
      <c r="B10" t="s">
        <v>54</v>
      </c>
      <c r="C10" t="s">
        <v>55</v>
      </c>
      <c r="D10" t="s">
        <v>23</v>
      </c>
      <c r="E10" s="6">
        <f>ROUND('EVSE Products-NY'!E10*(1+$A$53),0)</f>
        <v>4644</v>
      </c>
      <c r="F10" s="2">
        <v>1580</v>
      </c>
      <c r="G10" s="2">
        <v>250</v>
      </c>
      <c r="H10" s="2">
        <v>250</v>
      </c>
      <c r="I10" s="2">
        <v>750</v>
      </c>
      <c r="J10" s="2">
        <v>1250</v>
      </c>
      <c r="K10" s="2">
        <v>150</v>
      </c>
      <c r="L10" s="2">
        <v>450</v>
      </c>
      <c r="M10" s="2">
        <v>750</v>
      </c>
      <c r="N10" s="2">
        <v>350</v>
      </c>
      <c r="O10">
        <v>1</v>
      </c>
      <c r="P10" t="s">
        <v>24</v>
      </c>
      <c r="Q10" t="s">
        <v>25</v>
      </c>
      <c r="R10" s="2">
        <f t="shared" si="3"/>
        <v>875</v>
      </c>
      <c r="S10" s="6">
        <f t="shared" si="4"/>
        <v>1000</v>
      </c>
      <c r="T10" s="2">
        <f t="shared" si="5"/>
        <v>625</v>
      </c>
      <c r="U10" s="6">
        <f t="shared" si="6"/>
        <v>700</v>
      </c>
      <c r="V10" s="2">
        <f t="shared" si="7"/>
        <v>1125</v>
      </c>
      <c r="W10" s="6">
        <f t="shared" si="8"/>
        <v>1300</v>
      </c>
    </row>
    <row r="11" spans="1:24" x14ac:dyDescent="0.25">
      <c r="A11" t="s">
        <v>56</v>
      </c>
      <c r="B11" t="s">
        <v>57</v>
      </c>
      <c r="C11" t="s">
        <v>58</v>
      </c>
      <c r="D11" t="s">
        <v>23</v>
      </c>
      <c r="E11" s="6">
        <f>ROUND('EVSE Products-NY'!E11*(1+$A$53),0)</f>
        <v>3332</v>
      </c>
      <c r="F11" s="2">
        <v>900</v>
      </c>
      <c r="G11" s="2">
        <v>250</v>
      </c>
      <c r="H11" s="2">
        <v>250</v>
      </c>
      <c r="I11" s="2">
        <v>750</v>
      </c>
      <c r="J11" s="2">
        <v>1250</v>
      </c>
      <c r="K11" s="2">
        <v>150</v>
      </c>
      <c r="L11" s="2">
        <v>450</v>
      </c>
      <c r="M11" s="2">
        <v>750</v>
      </c>
      <c r="N11" s="2">
        <v>350</v>
      </c>
      <c r="O11">
        <v>1</v>
      </c>
      <c r="P11" t="s">
        <v>24</v>
      </c>
      <c r="Q11" t="s">
        <v>25</v>
      </c>
      <c r="R11" s="2">
        <f t="shared" si="3"/>
        <v>875</v>
      </c>
      <c r="S11" s="6">
        <f t="shared" si="4"/>
        <v>1000</v>
      </c>
      <c r="T11" s="2">
        <f t="shared" si="5"/>
        <v>625</v>
      </c>
      <c r="U11" s="6">
        <f t="shared" si="6"/>
        <v>700</v>
      </c>
      <c r="V11" s="2">
        <f t="shared" si="7"/>
        <v>1125</v>
      </c>
      <c r="W11" s="6">
        <f t="shared" si="8"/>
        <v>1300</v>
      </c>
    </row>
    <row r="12" spans="1:24" x14ac:dyDescent="0.25">
      <c r="A12" t="s">
        <v>59</v>
      </c>
      <c r="B12" t="s">
        <v>60</v>
      </c>
      <c r="C12" t="s">
        <v>61</v>
      </c>
      <c r="D12" t="s">
        <v>23</v>
      </c>
      <c r="E12" s="6">
        <f>ROUND('EVSE Products-NY'!E12*(1+$A$53),0)</f>
        <v>2625</v>
      </c>
      <c r="F12" s="2">
        <v>750</v>
      </c>
      <c r="G12" s="2">
        <v>250</v>
      </c>
      <c r="H12" s="2">
        <v>250</v>
      </c>
      <c r="I12" s="2">
        <v>750</v>
      </c>
      <c r="J12" s="2">
        <v>1250</v>
      </c>
      <c r="K12" s="2">
        <v>150</v>
      </c>
      <c r="L12" s="2">
        <v>450</v>
      </c>
      <c r="M12" s="2">
        <v>750</v>
      </c>
      <c r="N12" s="2">
        <v>175</v>
      </c>
      <c r="O12">
        <v>1</v>
      </c>
      <c r="P12" t="s">
        <v>24</v>
      </c>
      <c r="Q12" t="s">
        <v>25</v>
      </c>
      <c r="R12" s="2">
        <f t="shared" si="3"/>
        <v>875</v>
      </c>
      <c r="S12" s="6">
        <f t="shared" si="4"/>
        <v>1000</v>
      </c>
      <c r="T12" s="2">
        <f t="shared" si="5"/>
        <v>625</v>
      </c>
      <c r="U12" s="6">
        <f t="shared" si="6"/>
        <v>700</v>
      </c>
      <c r="V12" s="2">
        <f t="shared" si="7"/>
        <v>1125</v>
      </c>
      <c r="W12" s="6">
        <f t="shared" si="8"/>
        <v>1300</v>
      </c>
    </row>
    <row r="13" spans="1:24" x14ac:dyDescent="0.25">
      <c r="A13" t="s">
        <v>20</v>
      </c>
      <c r="B13" t="s">
        <v>21</v>
      </c>
      <c r="C13" t="s">
        <v>22</v>
      </c>
      <c r="D13" t="s">
        <v>23</v>
      </c>
      <c r="E13" s="6">
        <f>ROUND('EVSE Products-NY'!E13*(1+$A$53),0)</f>
        <v>5589</v>
      </c>
      <c r="F13" s="2">
        <v>2750</v>
      </c>
      <c r="G13" s="2">
        <v>500</v>
      </c>
      <c r="H13" s="2">
        <v>500</v>
      </c>
      <c r="I13" s="2">
        <v>1500</v>
      </c>
      <c r="J13" s="2">
        <v>2500</v>
      </c>
      <c r="K13" s="2">
        <v>300</v>
      </c>
      <c r="L13" s="2">
        <v>900</v>
      </c>
      <c r="M13" s="2">
        <v>1500</v>
      </c>
      <c r="N13" s="2">
        <v>350</v>
      </c>
      <c r="O13">
        <v>2</v>
      </c>
      <c r="P13" t="s">
        <v>24</v>
      </c>
      <c r="Q13" t="s">
        <v>25</v>
      </c>
      <c r="R13" s="2">
        <f>1400*1.25</f>
        <v>1750</v>
      </c>
      <c r="S13" s="2">
        <f>R13*(1+$X$1)</f>
        <v>1925.0000000000002</v>
      </c>
      <c r="T13" s="2">
        <f>1000*1.25</f>
        <v>1250</v>
      </c>
      <c r="U13" s="2">
        <f t="shared" si="1"/>
        <v>1375</v>
      </c>
      <c r="V13" s="2">
        <f>1800*1.25</f>
        <v>2250</v>
      </c>
      <c r="W13" s="2">
        <f t="shared" si="2"/>
        <v>2475</v>
      </c>
    </row>
    <row r="14" spans="1:24" x14ac:dyDescent="0.25">
      <c r="A14" t="s">
        <v>32</v>
      </c>
      <c r="B14" t="s">
        <v>33</v>
      </c>
      <c r="C14" t="s">
        <v>34</v>
      </c>
      <c r="D14" t="s">
        <v>23</v>
      </c>
      <c r="E14" s="6">
        <f>ROUND('EVSE Products-NY'!E14*(1+$A$53),0)</f>
        <v>5589</v>
      </c>
      <c r="F14" s="2">
        <v>2750</v>
      </c>
      <c r="G14" s="2">
        <v>500</v>
      </c>
      <c r="H14" s="2">
        <v>500</v>
      </c>
      <c r="I14" s="2">
        <v>1500</v>
      </c>
      <c r="J14" s="2">
        <v>2500</v>
      </c>
      <c r="K14" s="2">
        <v>300</v>
      </c>
      <c r="L14" s="2">
        <v>900</v>
      </c>
      <c r="M14" s="2">
        <v>1500</v>
      </c>
      <c r="N14" s="2">
        <v>350</v>
      </c>
      <c r="O14">
        <v>2</v>
      </c>
      <c r="P14" t="s">
        <v>24</v>
      </c>
      <c r="Q14" t="s">
        <v>25</v>
      </c>
      <c r="R14" s="2">
        <f t="shared" ref="R14:R16" si="9">1400*1.25</f>
        <v>1750</v>
      </c>
      <c r="S14" s="2">
        <f t="shared" si="0"/>
        <v>1925.0000000000002</v>
      </c>
      <c r="T14" s="2">
        <f t="shared" ref="T14:T16" si="10">1000*1.25</f>
        <v>1250</v>
      </c>
      <c r="U14" s="2">
        <f t="shared" si="1"/>
        <v>1375</v>
      </c>
      <c r="V14" s="2">
        <f t="shared" ref="V14:V16" si="11">1800*1.25</f>
        <v>2250</v>
      </c>
      <c r="W14" s="2">
        <f t="shared" si="2"/>
        <v>2475</v>
      </c>
    </row>
    <row r="15" spans="1:24" x14ac:dyDescent="0.25">
      <c r="A15" t="s">
        <v>41</v>
      </c>
      <c r="B15" t="s">
        <v>42</v>
      </c>
      <c r="C15" t="s">
        <v>43</v>
      </c>
      <c r="D15" t="s">
        <v>23</v>
      </c>
      <c r="E15" s="6">
        <f>ROUND('EVSE Products-NY'!E15*(1+$A$53),0)</f>
        <v>5589</v>
      </c>
      <c r="F15" s="2">
        <v>2750</v>
      </c>
      <c r="G15" s="2">
        <v>500</v>
      </c>
      <c r="H15" s="2">
        <v>500</v>
      </c>
      <c r="I15" s="2">
        <v>1500</v>
      </c>
      <c r="J15" s="2">
        <v>2500</v>
      </c>
      <c r="K15" s="2">
        <v>300</v>
      </c>
      <c r="L15" s="2">
        <v>900</v>
      </c>
      <c r="M15" s="2">
        <v>1500</v>
      </c>
      <c r="N15" s="2">
        <v>350</v>
      </c>
      <c r="O15">
        <v>2</v>
      </c>
      <c r="P15" t="s">
        <v>24</v>
      </c>
      <c r="Q15" t="s">
        <v>25</v>
      </c>
      <c r="R15" s="2">
        <f t="shared" si="9"/>
        <v>1750</v>
      </c>
      <c r="S15" s="2">
        <f t="shared" si="0"/>
        <v>1925.0000000000002</v>
      </c>
      <c r="T15" s="2">
        <f t="shared" si="10"/>
        <v>1250</v>
      </c>
      <c r="U15" s="2">
        <f t="shared" si="1"/>
        <v>1375</v>
      </c>
      <c r="V15" s="2">
        <f t="shared" si="11"/>
        <v>2250</v>
      </c>
      <c r="W15" s="2">
        <f t="shared" si="2"/>
        <v>2475</v>
      </c>
    </row>
    <row r="16" spans="1:24" x14ac:dyDescent="0.25">
      <c r="A16" t="s">
        <v>50</v>
      </c>
      <c r="B16" t="s">
        <v>51</v>
      </c>
      <c r="C16" t="s">
        <v>52</v>
      </c>
      <c r="D16" t="s">
        <v>23</v>
      </c>
      <c r="E16" s="6">
        <f>ROUND('EVSE Products-NY'!E16*(1+$A$53),0)</f>
        <v>5589</v>
      </c>
      <c r="F16" s="2">
        <v>2750</v>
      </c>
      <c r="G16" s="2">
        <v>500</v>
      </c>
      <c r="H16" s="2">
        <v>500</v>
      </c>
      <c r="I16" s="2">
        <v>1500</v>
      </c>
      <c r="J16" s="2">
        <v>2500</v>
      </c>
      <c r="K16" s="2">
        <v>300</v>
      </c>
      <c r="L16" s="2">
        <v>900</v>
      </c>
      <c r="M16" s="2">
        <v>1500</v>
      </c>
      <c r="N16" s="2">
        <v>350</v>
      </c>
      <c r="O16">
        <v>2</v>
      </c>
      <c r="P16" t="s">
        <v>24</v>
      </c>
      <c r="Q16" t="s">
        <v>25</v>
      </c>
      <c r="R16" s="2">
        <f t="shared" si="9"/>
        <v>1750</v>
      </c>
      <c r="S16" s="2">
        <f t="shared" si="0"/>
        <v>1925.0000000000002</v>
      </c>
      <c r="T16" s="2">
        <f t="shared" si="10"/>
        <v>1250</v>
      </c>
      <c r="U16" s="2">
        <f t="shared" si="1"/>
        <v>1375</v>
      </c>
      <c r="V16" s="2">
        <f t="shared" si="11"/>
        <v>2250</v>
      </c>
      <c r="W16" s="2">
        <f t="shared" si="2"/>
        <v>2475</v>
      </c>
    </row>
    <row r="17" spans="1:23" x14ac:dyDescent="0.25">
      <c r="A17" t="s">
        <v>69</v>
      </c>
      <c r="B17" t="s">
        <v>70</v>
      </c>
      <c r="C17" t="s">
        <v>71</v>
      </c>
      <c r="D17" t="s">
        <v>23</v>
      </c>
      <c r="E17" s="6">
        <f>ROUND('EVSE Products-NY'!E19*(1+$A$53),0)</f>
        <v>50501</v>
      </c>
      <c r="F17" s="2">
        <v>36072</v>
      </c>
      <c r="G17" s="2">
        <v>680</v>
      </c>
      <c r="H17" s="2">
        <v>680</v>
      </c>
      <c r="I17" s="2">
        <v>2040</v>
      </c>
      <c r="J17" s="2">
        <v>3400</v>
      </c>
      <c r="K17" s="2">
        <v>480</v>
      </c>
      <c r="L17" s="2">
        <v>1440</v>
      </c>
      <c r="M17" s="2">
        <v>2400</v>
      </c>
      <c r="N17" s="2">
        <v>1250</v>
      </c>
      <c r="O17">
        <v>2</v>
      </c>
      <c r="P17" t="s">
        <v>24</v>
      </c>
      <c r="Q17" t="s">
        <v>72</v>
      </c>
      <c r="R17" s="2">
        <v>7700</v>
      </c>
      <c r="S17" s="2">
        <f t="shared" si="0"/>
        <v>8470</v>
      </c>
      <c r="T17" s="2">
        <v>3100</v>
      </c>
      <c r="U17" s="2">
        <f t="shared" si="1"/>
        <v>3410.0000000000005</v>
      </c>
      <c r="V17" s="6">
        <f>((R17-T17)*2)+T17</f>
        <v>12300</v>
      </c>
      <c r="W17" s="2">
        <f t="shared" si="2"/>
        <v>13530.000000000002</v>
      </c>
    </row>
    <row r="18" spans="1:23" x14ac:dyDescent="0.25">
      <c r="A18" t="s">
        <v>73</v>
      </c>
      <c r="B18" t="s">
        <v>74</v>
      </c>
      <c r="C18" t="s">
        <v>75</v>
      </c>
      <c r="D18" t="s">
        <v>23</v>
      </c>
      <c r="E18" s="6">
        <f>ROUND('EVSE Products-NY'!E20*(1+$A$53),0)</f>
        <v>54734</v>
      </c>
      <c r="F18" s="2">
        <v>39096</v>
      </c>
      <c r="G18" s="2">
        <v>680</v>
      </c>
      <c r="H18" s="2">
        <v>680</v>
      </c>
      <c r="I18" s="2">
        <v>2040</v>
      </c>
      <c r="J18" s="2">
        <v>3400</v>
      </c>
      <c r="K18" s="2">
        <v>480</v>
      </c>
      <c r="L18" s="2">
        <v>1440</v>
      </c>
      <c r="M18" s="2">
        <v>2400</v>
      </c>
      <c r="N18" s="2">
        <v>1250</v>
      </c>
      <c r="O18">
        <v>2</v>
      </c>
      <c r="P18" t="s">
        <v>24</v>
      </c>
      <c r="Q18" t="s">
        <v>72</v>
      </c>
      <c r="R18" s="2">
        <v>10000</v>
      </c>
      <c r="S18" s="2">
        <f t="shared" si="0"/>
        <v>11000</v>
      </c>
      <c r="T18" s="2">
        <v>4000</v>
      </c>
      <c r="U18" s="2">
        <f t="shared" si="1"/>
        <v>4400</v>
      </c>
      <c r="V18" s="6">
        <f t="shared" ref="V18:V27" si="12">((R18-T18)*2)+T18</f>
        <v>16000</v>
      </c>
      <c r="W18" s="2">
        <f t="shared" si="2"/>
        <v>17600</v>
      </c>
    </row>
    <row r="19" spans="1:23" x14ac:dyDescent="0.25">
      <c r="A19" t="s">
        <v>76</v>
      </c>
      <c r="B19" t="s">
        <v>77</v>
      </c>
      <c r="C19" t="s">
        <v>78</v>
      </c>
      <c r="D19" t="s">
        <v>23</v>
      </c>
      <c r="E19" s="6">
        <f>ROUND('EVSE Products-NY'!E21*(1+$A$53),0)</f>
        <v>67586</v>
      </c>
      <c r="F19" s="2">
        <v>48276</v>
      </c>
      <c r="G19" s="2">
        <v>680</v>
      </c>
      <c r="H19" s="2">
        <v>680</v>
      </c>
      <c r="I19" s="2">
        <v>2040</v>
      </c>
      <c r="J19" s="2">
        <v>3400</v>
      </c>
      <c r="K19" s="2">
        <v>480</v>
      </c>
      <c r="L19" s="2">
        <v>1440</v>
      </c>
      <c r="M19" s="2">
        <v>2400</v>
      </c>
      <c r="N19" s="2">
        <v>1250</v>
      </c>
      <c r="O19">
        <v>2</v>
      </c>
      <c r="P19" t="s">
        <v>24</v>
      </c>
      <c r="Q19" t="s">
        <v>72</v>
      </c>
      <c r="R19" s="2">
        <v>12200</v>
      </c>
      <c r="S19" s="2">
        <f t="shared" si="0"/>
        <v>13420.000000000002</v>
      </c>
      <c r="T19" s="2">
        <v>4900</v>
      </c>
      <c r="U19" s="2">
        <f t="shared" si="1"/>
        <v>5390</v>
      </c>
      <c r="V19" s="6">
        <f t="shared" si="12"/>
        <v>19500</v>
      </c>
      <c r="W19" s="2">
        <f t="shared" si="2"/>
        <v>21450</v>
      </c>
    </row>
    <row r="20" spans="1:23" x14ac:dyDescent="0.25">
      <c r="A20" t="s">
        <v>79</v>
      </c>
      <c r="B20" t="s">
        <v>80</v>
      </c>
      <c r="C20" t="s">
        <v>81</v>
      </c>
      <c r="D20" t="s">
        <v>23</v>
      </c>
      <c r="E20" s="6">
        <f>ROUND('EVSE Products-NY'!E22*(1+$A$53),0)</f>
        <v>83160</v>
      </c>
      <c r="F20" s="2">
        <v>59400</v>
      </c>
      <c r="G20" s="2">
        <v>680</v>
      </c>
      <c r="H20" s="2">
        <v>680</v>
      </c>
      <c r="I20" s="2">
        <v>2040</v>
      </c>
      <c r="J20" s="2">
        <v>3400</v>
      </c>
      <c r="K20" s="2">
        <v>480</v>
      </c>
      <c r="L20" s="2">
        <v>1440</v>
      </c>
      <c r="M20" s="2">
        <v>2400</v>
      </c>
      <c r="N20" s="2">
        <v>1250</v>
      </c>
      <c r="O20">
        <v>2</v>
      </c>
      <c r="P20" t="s">
        <v>24</v>
      </c>
      <c r="Q20" t="s">
        <v>72</v>
      </c>
      <c r="R20" s="2">
        <v>14500</v>
      </c>
      <c r="S20" s="2">
        <f t="shared" si="0"/>
        <v>15950.000000000002</v>
      </c>
      <c r="T20" s="2">
        <v>5800</v>
      </c>
      <c r="U20" s="2">
        <f t="shared" si="1"/>
        <v>6380.0000000000009</v>
      </c>
      <c r="V20" s="6">
        <f t="shared" si="12"/>
        <v>23200</v>
      </c>
      <c r="W20" s="2">
        <f t="shared" si="2"/>
        <v>25520.000000000004</v>
      </c>
    </row>
    <row r="21" spans="1:23" x14ac:dyDescent="0.25">
      <c r="A21" t="s">
        <v>82</v>
      </c>
      <c r="B21" t="s">
        <v>83</v>
      </c>
      <c r="C21" t="s">
        <v>84</v>
      </c>
      <c r="D21" t="s">
        <v>23</v>
      </c>
      <c r="E21" s="6">
        <f>ROUND('EVSE Products-NY'!E23*(1+$A$53),0)</f>
        <v>50501</v>
      </c>
      <c r="F21" s="2">
        <v>36072</v>
      </c>
      <c r="G21" s="2">
        <v>680</v>
      </c>
      <c r="H21" s="2">
        <v>680</v>
      </c>
      <c r="I21" s="2">
        <v>2040</v>
      </c>
      <c r="J21" s="2">
        <v>3400</v>
      </c>
      <c r="K21" s="2">
        <v>480</v>
      </c>
      <c r="L21" s="2">
        <v>1440</v>
      </c>
      <c r="M21" s="2">
        <v>2400</v>
      </c>
      <c r="N21" s="2">
        <v>1250</v>
      </c>
      <c r="O21">
        <v>2</v>
      </c>
      <c r="P21" t="s">
        <v>24</v>
      </c>
      <c r="Q21" t="s">
        <v>72</v>
      </c>
      <c r="R21" s="2">
        <v>7700</v>
      </c>
      <c r="S21" s="2">
        <f t="shared" si="0"/>
        <v>8470</v>
      </c>
      <c r="T21" s="2">
        <v>3100</v>
      </c>
      <c r="U21" s="2">
        <f t="shared" si="1"/>
        <v>3410.0000000000005</v>
      </c>
      <c r="V21" s="6">
        <f t="shared" si="12"/>
        <v>12300</v>
      </c>
      <c r="W21" s="2">
        <f t="shared" si="2"/>
        <v>13530.000000000002</v>
      </c>
    </row>
    <row r="22" spans="1:23" x14ac:dyDescent="0.25">
      <c r="A22" t="s">
        <v>85</v>
      </c>
      <c r="B22" t="s">
        <v>86</v>
      </c>
      <c r="C22" t="s">
        <v>87</v>
      </c>
      <c r="D22" t="s">
        <v>23</v>
      </c>
      <c r="E22" s="6">
        <f>ROUND('EVSE Products-NY'!E24*(1+$A$53),0)</f>
        <v>54734</v>
      </c>
      <c r="F22" s="2">
        <v>39096</v>
      </c>
      <c r="G22" s="2">
        <v>680</v>
      </c>
      <c r="H22" s="2">
        <v>680</v>
      </c>
      <c r="I22" s="2">
        <v>2040</v>
      </c>
      <c r="J22" s="2">
        <v>3400</v>
      </c>
      <c r="K22" s="2">
        <v>480</v>
      </c>
      <c r="L22" s="2">
        <v>1440</v>
      </c>
      <c r="M22" s="2">
        <v>2400</v>
      </c>
      <c r="N22" s="2">
        <v>1250</v>
      </c>
      <c r="O22">
        <v>2</v>
      </c>
      <c r="P22" t="s">
        <v>24</v>
      </c>
      <c r="Q22" t="s">
        <v>72</v>
      </c>
      <c r="R22" s="2">
        <v>10000</v>
      </c>
      <c r="S22" s="2">
        <f t="shared" si="0"/>
        <v>11000</v>
      </c>
      <c r="T22" s="2">
        <v>4000</v>
      </c>
      <c r="U22" s="2">
        <f t="shared" si="1"/>
        <v>4400</v>
      </c>
      <c r="V22" s="6">
        <f t="shared" si="12"/>
        <v>16000</v>
      </c>
      <c r="W22" s="2">
        <f t="shared" si="2"/>
        <v>17600</v>
      </c>
    </row>
    <row r="23" spans="1:23" x14ac:dyDescent="0.25">
      <c r="A23" t="s">
        <v>88</v>
      </c>
      <c r="B23" t="s">
        <v>89</v>
      </c>
      <c r="C23" t="s">
        <v>90</v>
      </c>
      <c r="D23" t="s">
        <v>23</v>
      </c>
      <c r="E23" s="6">
        <f>ROUND('EVSE Products-NY'!E25*(1+$A$53),0)</f>
        <v>67586</v>
      </c>
      <c r="F23" s="2">
        <v>48276</v>
      </c>
      <c r="G23" s="2">
        <v>680</v>
      </c>
      <c r="H23" s="2">
        <v>680</v>
      </c>
      <c r="I23" s="2">
        <v>2040</v>
      </c>
      <c r="J23" s="2">
        <v>3400</v>
      </c>
      <c r="K23" s="2">
        <v>480</v>
      </c>
      <c r="L23" s="2">
        <v>1440</v>
      </c>
      <c r="M23" s="2">
        <v>2400</v>
      </c>
      <c r="N23" s="2">
        <v>1250</v>
      </c>
      <c r="O23">
        <v>2</v>
      </c>
      <c r="P23" t="s">
        <v>24</v>
      </c>
      <c r="Q23" t="s">
        <v>72</v>
      </c>
      <c r="R23" s="2">
        <v>12200</v>
      </c>
      <c r="S23" s="2">
        <f t="shared" si="0"/>
        <v>13420.000000000002</v>
      </c>
      <c r="T23" s="2">
        <v>4900</v>
      </c>
      <c r="U23" s="2">
        <f t="shared" si="1"/>
        <v>5390</v>
      </c>
      <c r="V23" s="6">
        <f t="shared" si="12"/>
        <v>19500</v>
      </c>
      <c r="W23" s="2">
        <f t="shared" si="2"/>
        <v>21450</v>
      </c>
    </row>
    <row r="24" spans="1:23" x14ac:dyDescent="0.25">
      <c r="A24" t="s">
        <v>91</v>
      </c>
      <c r="B24" t="s">
        <v>92</v>
      </c>
      <c r="C24" t="s">
        <v>93</v>
      </c>
      <c r="D24" t="s">
        <v>23</v>
      </c>
      <c r="E24" s="6">
        <f>ROUND('EVSE Products-NY'!E26*(1+$A$53),0)</f>
        <v>83160</v>
      </c>
      <c r="F24" s="2">
        <v>59400</v>
      </c>
      <c r="G24" s="2">
        <v>680</v>
      </c>
      <c r="H24" s="2">
        <v>680</v>
      </c>
      <c r="I24" s="2">
        <v>2040</v>
      </c>
      <c r="J24" s="2">
        <v>3400</v>
      </c>
      <c r="K24" s="2">
        <v>480</v>
      </c>
      <c r="L24" s="2">
        <v>1440</v>
      </c>
      <c r="M24" s="2">
        <v>2400</v>
      </c>
      <c r="N24" s="2">
        <v>1250</v>
      </c>
      <c r="O24">
        <v>2</v>
      </c>
      <c r="P24" t="s">
        <v>24</v>
      </c>
      <c r="Q24" t="s">
        <v>72</v>
      </c>
      <c r="R24" s="2">
        <v>14500</v>
      </c>
      <c r="S24" s="2">
        <f t="shared" si="0"/>
        <v>15950.000000000002</v>
      </c>
      <c r="T24" s="2">
        <v>5800</v>
      </c>
      <c r="U24" s="2">
        <f t="shared" si="1"/>
        <v>6380.0000000000009</v>
      </c>
      <c r="V24" s="6">
        <f t="shared" si="12"/>
        <v>23200</v>
      </c>
      <c r="W24" s="2">
        <f t="shared" si="2"/>
        <v>25520.000000000004</v>
      </c>
    </row>
    <row r="25" spans="1:23" x14ac:dyDescent="0.25">
      <c r="A25" t="s">
        <v>103</v>
      </c>
      <c r="B25" t="s">
        <v>104</v>
      </c>
      <c r="C25" t="s">
        <v>105</v>
      </c>
      <c r="D25" t="s">
        <v>23</v>
      </c>
      <c r="E25" s="6">
        <f>ROUND('EVSE Products-NY'!E27*(1+$A$53),0)</f>
        <v>154000</v>
      </c>
      <c r="F25" s="2">
        <v>110000</v>
      </c>
      <c r="G25" s="2">
        <v>680</v>
      </c>
      <c r="H25" s="2">
        <v>680</v>
      </c>
      <c r="I25" s="2">
        <v>2040</v>
      </c>
      <c r="J25" s="2">
        <v>3400</v>
      </c>
      <c r="K25" s="2">
        <v>480</v>
      </c>
      <c r="L25" s="2">
        <v>1440</v>
      </c>
      <c r="M25" s="2">
        <v>2400</v>
      </c>
      <c r="N25" s="2">
        <v>1250</v>
      </c>
      <c r="O25">
        <v>2</v>
      </c>
      <c r="P25" t="s">
        <v>24</v>
      </c>
      <c r="Q25" t="s">
        <v>72</v>
      </c>
      <c r="R25" s="2">
        <v>25000</v>
      </c>
      <c r="S25" s="2">
        <f t="shared" si="0"/>
        <v>27500.000000000004</v>
      </c>
      <c r="T25" s="2">
        <v>20000</v>
      </c>
      <c r="U25" s="2">
        <f t="shared" si="1"/>
        <v>22000</v>
      </c>
      <c r="V25" s="2">
        <f t="shared" si="12"/>
        <v>30000</v>
      </c>
      <c r="W25" s="2">
        <f t="shared" si="2"/>
        <v>33000</v>
      </c>
    </row>
    <row r="26" spans="1:23" x14ac:dyDescent="0.25">
      <c r="A26" t="s">
        <v>106</v>
      </c>
      <c r="B26" t="s">
        <v>107</v>
      </c>
      <c r="C26" t="s">
        <v>108</v>
      </c>
      <c r="D26" t="s">
        <v>23</v>
      </c>
      <c r="E26" s="6">
        <f>ROUND('EVSE Products-NY'!E28*(1+$A$53),0)</f>
        <v>154000</v>
      </c>
      <c r="F26" s="2">
        <v>110000</v>
      </c>
      <c r="G26" s="2">
        <v>680</v>
      </c>
      <c r="H26" s="2">
        <v>680</v>
      </c>
      <c r="I26" s="2">
        <v>2040</v>
      </c>
      <c r="J26" s="2">
        <v>3400</v>
      </c>
      <c r="K26" s="2">
        <v>480</v>
      </c>
      <c r="L26" s="2">
        <v>1440</v>
      </c>
      <c r="M26" s="2">
        <v>2400</v>
      </c>
      <c r="N26" s="2">
        <v>1250</v>
      </c>
      <c r="O26">
        <v>2</v>
      </c>
      <c r="P26" t="s">
        <v>24</v>
      </c>
      <c r="Q26" t="s">
        <v>72</v>
      </c>
      <c r="R26" s="2">
        <v>25000</v>
      </c>
      <c r="S26" s="2">
        <f t="shared" si="0"/>
        <v>27500.000000000004</v>
      </c>
      <c r="T26" s="2">
        <v>20000</v>
      </c>
      <c r="U26" s="2">
        <f t="shared" si="1"/>
        <v>22000</v>
      </c>
      <c r="V26" s="2">
        <f t="shared" si="12"/>
        <v>30000</v>
      </c>
      <c r="W26" s="2">
        <f t="shared" si="2"/>
        <v>33000</v>
      </c>
    </row>
    <row r="27" spans="1:23" x14ac:dyDescent="0.25">
      <c r="A27" t="s">
        <v>109</v>
      </c>
      <c r="B27" t="s">
        <v>110</v>
      </c>
      <c r="C27" t="s">
        <v>111</v>
      </c>
      <c r="D27" t="s">
        <v>23</v>
      </c>
      <c r="E27" s="6">
        <f>ROUND('EVSE Products-NY'!E29*(1+$A$53),0)</f>
        <v>154000</v>
      </c>
      <c r="F27" s="2">
        <v>110000</v>
      </c>
      <c r="G27" s="2">
        <v>680</v>
      </c>
      <c r="H27" s="2">
        <v>680</v>
      </c>
      <c r="I27" s="2">
        <v>2040</v>
      </c>
      <c r="J27" s="2">
        <v>3400</v>
      </c>
      <c r="K27" s="2">
        <v>480</v>
      </c>
      <c r="L27" s="2">
        <v>1440</v>
      </c>
      <c r="M27" s="2">
        <v>2400</v>
      </c>
      <c r="N27" s="2">
        <v>1250</v>
      </c>
      <c r="O27">
        <v>2</v>
      </c>
      <c r="P27" t="s">
        <v>24</v>
      </c>
      <c r="Q27" t="s">
        <v>72</v>
      </c>
      <c r="R27" s="2">
        <v>25000</v>
      </c>
      <c r="S27" s="2">
        <f t="shared" si="0"/>
        <v>27500.000000000004</v>
      </c>
      <c r="T27" s="2">
        <v>20000</v>
      </c>
      <c r="U27" s="2">
        <f t="shared" si="1"/>
        <v>22000</v>
      </c>
      <c r="V27" s="2">
        <f t="shared" si="12"/>
        <v>30000</v>
      </c>
      <c r="W27" s="2">
        <f t="shared" si="2"/>
        <v>33000</v>
      </c>
    </row>
    <row r="28" spans="1:23" x14ac:dyDescent="0.25">
      <c r="A28" t="s">
        <v>94</v>
      </c>
      <c r="B28" t="s">
        <v>95</v>
      </c>
      <c r="C28" t="s">
        <v>96</v>
      </c>
      <c r="D28" t="s">
        <v>23</v>
      </c>
      <c r="E28" s="6">
        <f>ROUND('EVSE Products-NY'!E30*(1+$A$53),0)</f>
        <v>206780</v>
      </c>
      <c r="F28" s="2">
        <v>147700</v>
      </c>
      <c r="G28" s="2">
        <v>1360</v>
      </c>
      <c r="H28" s="2">
        <v>1360</v>
      </c>
      <c r="I28" s="2">
        <v>4080</v>
      </c>
      <c r="J28" s="2">
        <v>6800</v>
      </c>
      <c r="K28" s="2">
        <v>960</v>
      </c>
      <c r="L28" s="2">
        <v>2880</v>
      </c>
      <c r="M28" s="2">
        <v>4800</v>
      </c>
      <c r="N28" s="2">
        <v>1250</v>
      </c>
      <c r="O28">
        <v>4</v>
      </c>
      <c r="P28" t="s">
        <v>24</v>
      </c>
      <c r="Q28" t="s">
        <v>72</v>
      </c>
      <c r="R28" s="6">
        <f>R25*2</f>
        <v>50000</v>
      </c>
      <c r="S28" s="2">
        <f t="shared" si="0"/>
        <v>55000.000000000007</v>
      </c>
      <c r="T28" s="6">
        <f>T25*2</f>
        <v>40000</v>
      </c>
      <c r="U28" s="2">
        <f t="shared" si="1"/>
        <v>44000</v>
      </c>
      <c r="V28" s="6">
        <f>V25*2</f>
        <v>60000</v>
      </c>
      <c r="W28" s="2">
        <f t="shared" si="2"/>
        <v>66000</v>
      </c>
    </row>
    <row r="29" spans="1:23" x14ac:dyDescent="0.25">
      <c r="A29" t="s">
        <v>97</v>
      </c>
      <c r="B29" t="s">
        <v>98</v>
      </c>
      <c r="C29" t="s">
        <v>99</v>
      </c>
      <c r="D29" t="s">
        <v>23</v>
      </c>
      <c r="E29" s="6">
        <f>ROUND('EVSE Products-NY'!E31*(1+$A$53),0)</f>
        <v>206780</v>
      </c>
      <c r="F29" s="2">
        <v>147700</v>
      </c>
      <c r="G29" s="2">
        <v>1360</v>
      </c>
      <c r="H29" s="2">
        <v>1360</v>
      </c>
      <c r="I29" s="2">
        <v>4080</v>
      </c>
      <c r="J29" s="2">
        <v>6800</v>
      </c>
      <c r="K29" s="2">
        <v>960</v>
      </c>
      <c r="L29" s="2">
        <v>2880</v>
      </c>
      <c r="M29" s="2">
        <v>4800</v>
      </c>
      <c r="N29" s="2">
        <v>1250</v>
      </c>
      <c r="O29">
        <v>4</v>
      </c>
      <c r="P29" t="s">
        <v>24</v>
      </c>
      <c r="Q29" t="s">
        <v>72</v>
      </c>
      <c r="R29" s="6">
        <f t="shared" ref="R29:T30" si="13">R26*2</f>
        <v>50000</v>
      </c>
      <c r="S29" s="2">
        <f t="shared" si="0"/>
        <v>55000.000000000007</v>
      </c>
      <c r="T29" s="6">
        <f t="shared" si="13"/>
        <v>40000</v>
      </c>
      <c r="U29" s="2">
        <f t="shared" si="1"/>
        <v>44000</v>
      </c>
      <c r="V29" s="6">
        <f t="shared" ref="V29:V30" si="14">V26*2</f>
        <v>60000</v>
      </c>
      <c r="W29" s="2">
        <f t="shared" si="2"/>
        <v>66000</v>
      </c>
    </row>
    <row r="30" spans="1:23" x14ac:dyDescent="0.25">
      <c r="A30" t="s">
        <v>100</v>
      </c>
      <c r="B30" t="s">
        <v>101</v>
      </c>
      <c r="C30" t="s">
        <v>102</v>
      </c>
      <c r="D30" t="s">
        <v>23</v>
      </c>
      <c r="E30" s="6">
        <f>ROUND('EVSE Products-NY'!E32*(1+$A$53),0)</f>
        <v>206780</v>
      </c>
      <c r="F30" s="2">
        <v>147700</v>
      </c>
      <c r="G30" s="2">
        <v>1360</v>
      </c>
      <c r="H30" s="2">
        <v>1360</v>
      </c>
      <c r="I30" s="2">
        <v>4080</v>
      </c>
      <c r="J30" s="2">
        <v>6800</v>
      </c>
      <c r="K30" s="2">
        <v>960</v>
      </c>
      <c r="L30" s="2">
        <v>2880</v>
      </c>
      <c r="M30" s="2">
        <v>4800</v>
      </c>
      <c r="N30" s="2">
        <v>1250</v>
      </c>
      <c r="O30">
        <v>4</v>
      </c>
      <c r="P30" t="s">
        <v>24</v>
      </c>
      <c r="Q30" t="s">
        <v>72</v>
      </c>
      <c r="R30" s="6">
        <f t="shared" si="13"/>
        <v>50000</v>
      </c>
      <c r="S30" s="2">
        <f t="shared" si="0"/>
        <v>55000.000000000007</v>
      </c>
      <c r="T30" s="6">
        <f t="shared" si="13"/>
        <v>40000</v>
      </c>
      <c r="U30" s="2">
        <f t="shared" si="1"/>
        <v>44000</v>
      </c>
      <c r="V30" s="6">
        <f t="shared" si="14"/>
        <v>60000</v>
      </c>
      <c r="W30" s="2">
        <f t="shared" si="2"/>
        <v>66000</v>
      </c>
    </row>
    <row r="53" spans="1:1" ht="21" x14ac:dyDescent="0.35">
      <c r="A53" s="7">
        <v>0.05</v>
      </c>
    </row>
    <row r="54" spans="1:1" x14ac:dyDescent="0.25">
      <c r="A54" s="9" t="s">
        <v>368</v>
      </c>
    </row>
  </sheetData>
  <autoFilter ref="A1:W1" xr:uid="{00000000-0001-0000-0000-000000000000}">
    <sortState xmlns:xlrd2="http://schemas.microsoft.com/office/spreadsheetml/2017/richdata2" ref="A2:W30">
      <sortCondition ref="O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130E-69D9-4842-B95D-E9CDDEBCF676}">
  <sheetPr>
    <tabColor rgb="FF4CBC88"/>
  </sheetPr>
  <dimension ref="A1:X54"/>
  <sheetViews>
    <sheetView zoomScale="85" zoomScaleNormal="85" workbookViewId="0">
      <pane ySplit="1" topLeftCell="A2" activePane="bottomLeft" state="frozen"/>
      <selection pane="bottomLeft" activeCell="B33" sqref="B33"/>
    </sheetView>
  </sheetViews>
  <sheetFormatPr defaultRowHeight="15" x14ac:dyDescent="0.25"/>
  <cols>
    <col min="1" max="1" width="30" customWidth="1"/>
    <col min="2" max="2" width="60" customWidth="1"/>
    <col min="3" max="3" width="70" customWidth="1"/>
    <col min="4" max="6" width="15" customWidth="1"/>
    <col min="7" max="7" width="22" customWidth="1"/>
    <col min="8" max="13" width="20" customWidth="1"/>
    <col min="14" max="14" width="15" customWidth="1"/>
    <col min="15" max="15" width="17" customWidth="1"/>
    <col min="16" max="18" width="15" customWidth="1"/>
    <col min="19" max="23" width="24" customWidth="1"/>
  </cols>
  <sheetData>
    <row r="1" spans="1:24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365</v>
      </c>
      <c r="S1" s="1" t="s">
        <v>17</v>
      </c>
      <c r="T1" s="5" t="s">
        <v>366</v>
      </c>
      <c r="U1" s="1" t="s">
        <v>18</v>
      </c>
      <c r="V1" s="5" t="s">
        <v>367</v>
      </c>
      <c r="W1" s="1" t="s">
        <v>19</v>
      </c>
      <c r="X1" s="4">
        <v>0.1</v>
      </c>
    </row>
    <row r="2" spans="1:24" x14ac:dyDescent="0.25">
      <c r="A2" t="s">
        <v>62</v>
      </c>
      <c r="B2" t="s">
        <v>63</v>
      </c>
      <c r="C2" t="s">
        <v>64</v>
      </c>
      <c r="D2" t="s">
        <v>23</v>
      </c>
      <c r="E2" s="6">
        <f>ROUND('EVSE Products-NY'!E2*(1+$A$53),0)</f>
        <v>1250</v>
      </c>
      <c r="F2" s="2">
        <v>500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>
        <v>0</v>
      </c>
      <c r="P2" t="s">
        <v>65</v>
      </c>
      <c r="Q2" t="s">
        <v>25</v>
      </c>
      <c r="R2" s="2">
        <v>1000</v>
      </c>
      <c r="S2" s="2">
        <f t="shared" ref="S2:S30" si="0">R2*(1+$X$1)</f>
        <v>1100</v>
      </c>
      <c r="T2" s="2">
        <v>750</v>
      </c>
      <c r="U2" s="2">
        <f t="shared" ref="U2:U30" si="1">T2*(1+$X$1)</f>
        <v>825.00000000000011</v>
      </c>
      <c r="V2" s="2">
        <v>1250</v>
      </c>
      <c r="W2" s="2">
        <f t="shared" ref="W2:W30" si="2">V2*(1+$X$1)</f>
        <v>1375</v>
      </c>
    </row>
    <row r="3" spans="1:24" x14ac:dyDescent="0.25">
      <c r="A3" t="s">
        <v>66</v>
      </c>
      <c r="B3" t="s">
        <v>67</v>
      </c>
      <c r="C3" t="s">
        <v>68</v>
      </c>
      <c r="D3" t="s">
        <v>23</v>
      </c>
      <c r="E3" s="6">
        <f>ROUND('EVSE Products-NY'!E3*(1+$A$53),0)</f>
        <v>1250</v>
      </c>
      <c r="F3" s="2">
        <v>500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>
        <v>0</v>
      </c>
      <c r="P3" t="s">
        <v>65</v>
      </c>
      <c r="Q3" t="s">
        <v>25</v>
      </c>
      <c r="R3" s="2">
        <v>1000</v>
      </c>
      <c r="S3" s="2">
        <f t="shared" si="0"/>
        <v>1100</v>
      </c>
      <c r="T3" s="2">
        <v>750</v>
      </c>
      <c r="U3" s="2">
        <f t="shared" si="1"/>
        <v>825.00000000000011</v>
      </c>
      <c r="V3" s="2">
        <v>1250</v>
      </c>
      <c r="W3" s="2">
        <f t="shared" si="2"/>
        <v>1375</v>
      </c>
    </row>
    <row r="4" spans="1:24" x14ac:dyDescent="0.25">
      <c r="A4" t="s">
        <v>26</v>
      </c>
      <c r="B4" t="s">
        <v>27</v>
      </c>
      <c r="C4" t="s">
        <v>28</v>
      </c>
      <c r="D4" t="s">
        <v>23</v>
      </c>
      <c r="E4" s="6">
        <f>ROUND('EVSE Products-NY'!E4*(1+$A$53),0)</f>
        <v>5529</v>
      </c>
      <c r="F4" s="2">
        <v>1580</v>
      </c>
      <c r="G4" s="2">
        <v>250</v>
      </c>
      <c r="H4" s="2">
        <v>250</v>
      </c>
      <c r="I4" s="2">
        <v>750</v>
      </c>
      <c r="J4" s="2">
        <v>1250</v>
      </c>
      <c r="K4" s="2">
        <v>150</v>
      </c>
      <c r="L4" s="2">
        <v>450</v>
      </c>
      <c r="M4" s="2">
        <v>750</v>
      </c>
      <c r="N4" s="2">
        <v>350</v>
      </c>
      <c r="O4">
        <v>1</v>
      </c>
      <c r="P4" t="s">
        <v>24</v>
      </c>
      <c r="Q4" t="s">
        <v>25</v>
      </c>
      <c r="R4" s="2">
        <f>700*1.25</f>
        <v>875</v>
      </c>
      <c r="S4" s="6">
        <f>ROUNDUP(R4*(1+$X$1),-2)</f>
        <v>1000</v>
      </c>
      <c r="T4" s="2">
        <f>500*1.25</f>
        <v>625</v>
      </c>
      <c r="U4" s="6">
        <f>ROUNDUP(T4*(1+$X$1),-2)</f>
        <v>700</v>
      </c>
      <c r="V4" s="2">
        <f>900*1.25</f>
        <v>1125</v>
      </c>
      <c r="W4" s="6">
        <f>ROUNDUP(V4*(1+$X$1),-2)</f>
        <v>1300</v>
      </c>
    </row>
    <row r="5" spans="1:24" x14ac:dyDescent="0.25">
      <c r="A5" t="s">
        <v>29</v>
      </c>
      <c r="B5" t="s">
        <v>30</v>
      </c>
      <c r="C5" t="s">
        <v>31</v>
      </c>
      <c r="D5" t="s">
        <v>23</v>
      </c>
      <c r="E5" s="6">
        <f>ROUND('EVSE Products-NY'!E5*(1+$A$53),0)</f>
        <v>3966</v>
      </c>
      <c r="F5" s="2">
        <v>900</v>
      </c>
      <c r="G5" s="2">
        <v>250</v>
      </c>
      <c r="H5" s="2">
        <v>250</v>
      </c>
      <c r="I5" s="2">
        <v>750</v>
      </c>
      <c r="J5" s="2">
        <v>1250</v>
      </c>
      <c r="K5" s="2">
        <v>150</v>
      </c>
      <c r="L5" s="2">
        <v>450</v>
      </c>
      <c r="M5" s="2">
        <v>750</v>
      </c>
      <c r="N5" s="2">
        <v>350</v>
      </c>
      <c r="O5">
        <v>1</v>
      </c>
      <c r="P5" t="s">
        <v>24</v>
      </c>
      <c r="Q5" t="s">
        <v>25</v>
      </c>
      <c r="R5" s="2">
        <f>700*1.25</f>
        <v>875</v>
      </c>
      <c r="S5" s="6">
        <f>ROUNDUP(R5*(1+$X$1),-2)</f>
        <v>1000</v>
      </c>
      <c r="T5" s="2">
        <f>500*1.25</f>
        <v>625</v>
      </c>
      <c r="U5" s="6">
        <f>ROUNDUP(T5*(1+$X$1),-2)</f>
        <v>700</v>
      </c>
      <c r="V5" s="2">
        <f>900*1.25</f>
        <v>1125</v>
      </c>
      <c r="W5" s="6">
        <f>ROUNDUP(V5*(1+$X$1),-2)</f>
        <v>1300</v>
      </c>
    </row>
    <row r="6" spans="1:24" x14ac:dyDescent="0.25">
      <c r="A6" t="s">
        <v>35</v>
      </c>
      <c r="B6" t="s">
        <v>36</v>
      </c>
      <c r="C6" t="s">
        <v>37</v>
      </c>
      <c r="D6" t="s">
        <v>23</v>
      </c>
      <c r="E6" s="6">
        <f>ROUND('EVSE Products-NY'!E6*(1+$A$53),0)</f>
        <v>5529</v>
      </c>
      <c r="F6" s="2">
        <v>1580</v>
      </c>
      <c r="G6" s="2">
        <v>250</v>
      </c>
      <c r="H6" s="2">
        <v>250</v>
      </c>
      <c r="I6" s="2">
        <v>750</v>
      </c>
      <c r="J6" s="2">
        <v>1250</v>
      </c>
      <c r="K6" s="2">
        <v>150</v>
      </c>
      <c r="L6" s="2">
        <v>450</v>
      </c>
      <c r="M6" s="2">
        <v>750</v>
      </c>
      <c r="N6" s="2">
        <v>350</v>
      </c>
      <c r="O6">
        <v>1</v>
      </c>
      <c r="P6" t="s">
        <v>24</v>
      </c>
      <c r="Q6" t="s">
        <v>25</v>
      </c>
      <c r="R6" s="2">
        <f t="shared" ref="R6:R12" si="3">700*1.25</f>
        <v>875</v>
      </c>
      <c r="S6" s="6">
        <f t="shared" ref="S6:S12" si="4">ROUNDUP(R6*(1+$X$1),-2)</f>
        <v>1000</v>
      </c>
      <c r="T6" s="2">
        <f t="shared" ref="T6:T12" si="5">500*1.25</f>
        <v>625</v>
      </c>
      <c r="U6" s="6">
        <f t="shared" ref="U6:U12" si="6">ROUNDUP(T6*(1+$X$1),-2)</f>
        <v>700</v>
      </c>
      <c r="V6" s="2">
        <f t="shared" ref="V6:V12" si="7">900*1.25</f>
        <v>1125</v>
      </c>
      <c r="W6" s="6">
        <f t="shared" ref="W6:W12" si="8">ROUNDUP(V6*(1+$X$1),-2)</f>
        <v>1300</v>
      </c>
    </row>
    <row r="7" spans="1:24" x14ac:dyDescent="0.25">
      <c r="A7" t="s">
        <v>38</v>
      </c>
      <c r="B7" t="s">
        <v>39</v>
      </c>
      <c r="C7" t="s">
        <v>40</v>
      </c>
      <c r="D7" t="s">
        <v>23</v>
      </c>
      <c r="E7" s="6">
        <f>ROUND('EVSE Products-NY'!E7*(1+$A$53),0)</f>
        <v>3966</v>
      </c>
      <c r="F7" s="2">
        <v>900</v>
      </c>
      <c r="G7" s="2">
        <v>250</v>
      </c>
      <c r="H7" s="2">
        <v>250</v>
      </c>
      <c r="I7" s="2">
        <v>750</v>
      </c>
      <c r="J7" s="2">
        <v>1250</v>
      </c>
      <c r="K7" s="2">
        <v>150</v>
      </c>
      <c r="L7" s="2">
        <v>450</v>
      </c>
      <c r="M7" s="2">
        <v>750</v>
      </c>
      <c r="N7" s="2">
        <v>350</v>
      </c>
      <c r="O7">
        <v>1</v>
      </c>
      <c r="P7" t="s">
        <v>24</v>
      </c>
      <c r="Q7" t="s">
        <v>25</v>
      </c>
      <c r="R7" s="2">
        <f t="shared" si="3"/>
        <v>875</v>
      </c>
      <c r="S7" s="6">
        <f t="shared" si="4"/>
        <v>1000</v>
      </c>
      <c r="T7" s="2">
        <f t="shared" si="5"/>
        <v>625</v>
      </c>
      <c r="U7" s="6">
        <f t="shared" si="6"/>
        <v>700</v>
      </c>
      <c r="V7" s="2">
        <f t="shared" si="7"/>
        <v>1125</v>
      </c>
      <c r="W7" s="6">
        <f t="shared" si="8"/>
        <v>1300</v>
      </c>
    </row>
    <row r="8" spans="1:24" x14ac:dyDescent="0.25">
      <c r="A8" t="s">
        <v>44</v>
      </c>
      <c r="B8" t="s">
        <v>45</v>
      </c>
      <c r="C8" t="s">
        <v>46</v>
      </c>
      <c r="D8" t="s">
        <v>23</v>
      </c>
      <c r="E8" s="6">
        <f>ROUND('EVSE Products-NY'!E8*(1+$A$53),0)</f>
        <v>5529</v>
      </c>
      <c r="F8" s="2">
        <v>1580</v>
      </c>
      <c r="G8" s="2">
        <v>250</v>
      </c>
      <c r="H8" s="2">
        <v>250</v>
      </c>
      <c r="I8" s="2">
        <v>750</v>
      </c>
      <c r="J8" s="2">
        <v>1250</v>
      </c>
      <c r="K8" s="2">
        <v>150</v>
      </c>
      <c r="L8" s="2">
        <v>450</v>
      </c>
      <c r="M8" s="2">
        <v>750</v>
      </c>
      <c r="N8" s="2">
        <v>350</v>
      </c>
      <c r="O8">
        <v>1</v>
      </c>
      <c r="P8" t="s">
        <v>24</v>
      </c>
      <c r="Q8" t="s">
        <v>25</v>
      </c>
      <c r="R8" s="2">
        <f t="shared" si="3"/>
        <v>875</v>
      </c>
      <c r="S8" s="6">
        <f t="shared" si="4"/>
        <v>1000</v>
      </c>
      <c r="T8" s="2">
        <f t="shared" si="5"/>
        <v>625</v>
      </c>
      <c r="U8" s="6">
        <f t="shared" si="6"/>
        <v>700</v>
      </c>
      <c r="V8" s="2">
        <f t="shared" si="7"/>
        <v>1125</v>
      </c>
      <c r="W8" s="6">
        <f t="shared" si="8"/>
        <v>1300</v>
      </c>
    </row>
    <row r="9" spans="1:24" x14ac:dyDescent="0.25">
      <c r="A9" t="s">
        <v>47</v>
      </c>
      <c r="B9" t="s">
        <v>48</v>
      </c>
      <c r="C9" t="s">
        <v>49</v>
      </c>
      <c r="D9" t="s">
        <v>23</v>
      </c>
      <c r="E9" s="6">
        <f>ROUND('EVSE Products-NY'!E9*(1+$A$53),0)</f>
        <v>3966</v>
      </c>
      <c r="F9" s="2">
        <v>900</v>
      </c>
      <c r="G9" s="2">
        <v>250</v>
      </c>
      <c r="H9" s="2">
        <v>250</v>
      </c>
      <c r="I9" s="2">
        <v>750</v>
      </c>
      <c r="J9" s="2">
        <v>1250</v>
      </c>
      <c r="K9" s="2">
        <v>150</v>
      </c>
      <c r="L9" s="2">
        <v>450</v>
      </c>
      <c r="M9" s="2">
        <v>750</v>
      </c>
      <c r="N9" s="2">
        <v>350</v>
      </c>
      <c r="O9">
        <v>1</v>
      </c>
      <c r="P9" t="s">
        <v>24</v>
      </c>
      <c r="Q9" t="s">
        <v>25</v>
      </c>
      <c r="R9" s="2">
        <f t="shared" si="3"/>
        <v>875</v>
      </c>
      <c r="S9" s="6">
        <f t="shared" si="4"/>
        <v>1000</v>
      </c>
      <c r="T9" s="2">
        <f t="shared" si="5"/>
        <v>625</v>
      </c>
      <c r="U9" s="6">
        <f t="shared" si="6"/>
        <v>700</v>
      </c>
      <c r="V9" s="2">
        <f t="shared" si="7"/>
        <v>1125</v>
      </c>
      <c r="W9" s="6">
        <f t="shared" si="8"/>
        <v>1300</v>
      </c>
    </row>
    <row r="10" spans="1:24" x14ac:dyDescent="0.25">
      <c r="A10" t="s">
        <v>53</v>
      </c>
      <c r="B10" t="s">
        <v>54</v>
      </c>
      <c r="C10" t="s">
        <v>55</v>
      </c>
      <c r="D10" t="s">
        <v>23</v>
      </c>
      <c r="E10" s="6">
        <f>ROUND('EVSE Products-NY'!E10*(1+$A$53),0)</f>
        <v>5529</v>
      </c>
      <c r="F10" s="2">
        <v>1580</v>
      </c>
      <c r="G10" s="2">
        <v>250</v>
      </c>
      <c r="H10" s="2">
        <v>250</v>
      </c>
      <c r="I10" s="2">
        <v>750</v>
      </c>
      <c r="J10" s="2">
        <v>1250</v>
      </c>
      <c r="K10" s="2">
        <v>150</v>
      </c>
      <c r="L10" s="2">
        <v>450</v>
      </c>
      <c r="M10" s="2">
        <v>750</v>
      </c>
      <c r="N10" s="2">
        <v>350</v>
      </c>
      <c r="O10">
        <v>1</v>
      </c>
      <c r="P10" t="s">
        <v>24</v>
      </c>
      <c r="Q10" t="s">
        <v>25</v>
      </c>
      <c r="R10" s="2">
        <f t="shared" si="3"/>
        <v>875</v>
      </c>
      <c r="S10" s="6">
        <f t="shared" si="4"/>
        <v>1000</v>
      </c>
      <c r="T10" s="2">
        <f t="shared" si="5"/>
        <v>625</v>
      </c>
      <c r="U10" s="6">
        <f t="shared" si="6"/>
        <v>700</v>
      </c>
      <c r="V10" s="2">
        <f t="shared" si="7"/>
        <v>1125</v>
      </c>
      <c r="W10" s="6">
        <f t="shared" si="8"/>
        <v>1300</v>
      </c>
    </row>
    <row r="11" spans="1:24" x14ac:dyDescent="0.25">
      <c r="A11" t="s">
        <v>56</v>
      </c>
      <c r="B11" t="s">
        <v>57</v>
      </c>
      <c r="C11" t="s">
        <v>58</v>
      </c>
      <c r="D11" t="s">
        <v>23</v>
      </c>
      <c r="E11" s="6">
        <f>ROUND('EVSE Products-NY'!E11*(1+$A$53),0)</f>
        <v>3966</v>
      </c>
      <c r="F11" s="2">
        <v>900</v>
      </c>
      <c r="G11" s="2">
        <v>250</v>
      </c>
      <c r="H11" s="2">
        <v>250</v>
      </c>
      <c r="I11" s="2">
        <v>750</v>
      </c>
      <c r="J11" s="2">
        <v>1250</v>
      </c>
      <c r="K11" s="2">
        <v>150</v>
      </c>
      <c r="L11" s="2">
        <v>450</v>
      </c>
      <c r="M11" s="2">
        <v>750</v>
      </c>
      <c r="N11" s="2">
        <v>350</v>
      </c>
      <c r="O11">
        <v>1</v>
      </c>
      <c r="P11" t="s">
        <v>24</v>
      </c>
      <c r="Q11" t="s">
        <v>25</v>
      </c>
      <c r="R11" s="2">
        <f t="shared" si="3"/>
        <v>875</v>
      </c>
      <c r="S11" s="6">
        <f t="shared" si="4"/>
        <v>1000</v>
      </c>
      <c r="T11" s="2">
        <f t="shared" si="5"/>
        <v>625</v>
      </c>
      <c r="U11" s="6">
        <f t="shared" si="6"/>
        <v>700</v>
      </c>
      <c r="V11" s="2">
        <f t="shared" si="7"/>
        <v>1125</v>
      </c>
      <c r="W11" s="6">
        <f t="shared" si="8"/>
        <v>1300</v>
      </c>
    </row>
    <row r="12" spans="1:24" x14ac:dyDescent="0.25">
      <c r="A12" t="s">
        <v>59</v>
      </c>
      <c r="B12" t="s">
        <v>60</v>
      </c>
      <c r="C12" t="s">
        <v>61</v>
      </c>
      <c r="D12" t="s">
        <v>23</v>
      </c>
      <c r="E12" s="6">
        <f>ROUND('EVSE Products-NY'!E12*(1+$A$53),0)</f>
        <v>3125</v>
      </c>
      <c r="F12" s="2">
        <v>750</v>
      </c>
      <c r="G12" s="2">
        <v>250</v>
      </c>
      <c r="H12" s="2">
        <v>250</v>
      </c>
      <c r="I12" s="2">
        <v>750</v>
      </c>
      <c r="J12" s="2">
        <v>1250</v>
      </c>
      <c r="K12" s="2">
        <v>150</v>
      </c>
      <c r="L12" s="2">
        <v>450</v>
      </c>
      <c r="M12" s="2">
        <v>750</v>
      </c>
      <c r="N12" s="2">
        <v>175</v>
      </c>
      <c r="O12">
        <v>1</v>
      </c>
      <c r="P12" t="s">
        <v>24</v>
      </c>
      <c r="Q12" t="s">
        <v>25</v>
      </c>
      <c r="R12" s="2">
        <f t="shared" si="3"/>
        <v>875</v>
      </c>
      <c r="S12" s="6">
        <f t="shared" si="4"/>
        <v>1000</v>
      </c>
      <c r="T12" s="2">
        <f t="shared" si="5"/>
        <v>625</v>
      </c>
      <c r="U12" s="6">
        <f t="shared" si="6"/>
        <v>700</v>
      </c>
      <c r="V12" s="2">
        <f t="shared" si="7"/>
        <v>1125</v>
      </c>
      <c r="W12" s="6">
        <f t="shared" si="8"/>
        <v>1300</v>
      </c>
    </row>
    <row r="13" spans="1:24" x14ac:dyDescent="0.25">
      <c r="A13" t="s">
        <v>20</v>
      </c>
      <c r="B13" t="s">
        <v>21</v>
      </c>
      <c r="C13" t="s">
        <v>22</v>
      </c>
      <c r="D13" t="s">
        <v>23</v>
      </c>
      <c r="E13" s="6">
        <f>ROUND('EVSE Products-NY'!E13*(1+$A$53),0)</f>
        <v>6654</v>
      </c>
      <c r="F13" s="2">
        <v>2750</v>
      </c>
      <c r="G13" s="2">
        <v>500</v>
      </c>
      <c r="H13" s="2">
        <v>500</v>
      </c>
      <c r="I13" s="2">
        <v>1500</v>
      </c>
      <c r="J13" s="2">
        <v>2500</v>
      </c>
      <c r="K13" s="2">
        <v>300</v>
      </c>
      <c r="L13" s="2">
        <v>900</v>
      </c>
      <c r="M13" s="2">
        <v>1500</v>
      </c>
      <c r="N13" s="2">
        <v>350</v>
      </c>
      <c r="O13">
        <v>2</v>
      </c>
      <c r="P13" t="s">
        <v>24</v>
      </c>
      <c r="Q13" t="s">
        <v>25</v>
      </c>
      <c r="R13" s="2">
        <f>1400*1.25</f>
        <v>1750</v>
      </c>
      <c r="S13" s="2">
        <f>R13*(1+$X$1)</f>
        <v>1925.0000000000002</v>
      </c>
      <c r="T13" s="2">
        <f>1000*1.25</f>
        <v>1250</v>
      </c>
      <c r="U13" s="2">
        <f t="shared" si="1"/>
        <v>1375</v>
      </c>
      <c r="V13" s="2">
        <f>1800*1.25</f>
        <v>2250</v>
      </c>
      <c r="W13" s="2">
        <f t="shared" si="2"/>
        <v>2475</v>
      </c>
    </row>
    <row r="14" spans="1:24" x14ac:dyDescent="0.25">
      <c r="A14" t="s">
        <v>32</v>
      </c>
      <c r="B14" t="s">
        <v>33</v>
      </c>
      <c r="C14" t="s">
        <v>34</v>
      </c>
      <c r="D14" t="s">
        <v>23</v>
      </c>
      <c r="E14" s="6">
        <f>ROUND('EVSE Products-NY'!E14*(1+$A$53),0)</f>
        <v>6654</v>
      </c>
      <c r="F14" s="2">
        <v>2750</v>
      </c>
      <c r="G14" s="2">
        <v>500</v>
      </c>
      <c r="H14" s="2">
        <v>500</v>
      </c>
      <c r="I14" s="2">
        <v>1500</v>
      </c>
      <c r="J14" s="2">
        <v>2500</v>
      </c>
      <c r="K14" s="2">
        <v>300</v>
      </c>
      <c r="L14" s="2">
        <v>900</v>
      </c>
      <c r="M14" s="2">
        <v>1500</v>
      </c>
      <c r="N14" s="2">
        <v>350</v>
      </c>
      <c r="O14">
        <v>2</v>
      </c>
      <c r="P14" t="s">
        <v>24</v>
      </c>
      <c r="Q14" t="s">
        <v>25</v>
      </c>
      <c r="R14" s="2">
        <f t="shared" ref="R14:R16" si="9">1400*1.25</f>
        <v>1750</v>
      </c>
      <c r="S14" s="2">
        <f t="shared" si="0"/>
        <v>1925.0000000000002</v>
      </c>
      <c r="T14" s="2">
        <f t="shared" ref="T14:T16" si="10">1000*1.25</f>
        <v>1250</v>
      </c>
      <c r="U14" s="2">
        <f t="shared" si="1"/>
        <v>1375</v>
      </c>
      <c r="V14" s="2">
        <f t="shared" ref="V14:V16" si="11">1800*1.25</f>
        <v>2250</v>
      </c>
      <c r="W14" s="2">
        <f t="shared" si="2"/>
        <v>2475</v>
      </c>
    </row>
    <row r="15" spans="1:24" x14ac:dyDescent="0.25">
      <c r="A15" t="s">
        <v>41</v>
      </c>
      <c r="B15" t="s">
        <v>42</v>
      </c>
      <c r="C15" t="s">
        <v>43</v>
      </c>
      <c r="D15" t="s">
        <v>23</v>
      </c>
      <c r="E15" s="6">
        <f>ROUND('EVSE Products-NY'!E15*(1+$A$53),0)</f>
        <v>6654</v>
      </c>
      <c r="F15" s="2">
        <v>2750</v>
      </c>
      <c r="G15" s="2">
        <v>500</v>
      </c>
      <c r="H15" s="2">
        <v>500</v>
      </c>
      <c r="I15" s="2">
        <v>1500</v>
      </c>
      <c r="J15" s="2">
        <v>2500</v>
      </c>
      <c r="K15" s="2">
        <v>300</v>
      </c>
      <c r="L15" s="2">
        <v>900</v>
      </c>
      <c r="M15" s="2">
        <v>1500</v>
      </c>
      <c r="N15" s="2">
        <v>350</v>
      </c>
      <c r="O15">
        <v>2</v>
      </c>
      <c r="P15" t="s">
        <v>24</v>
      </c>
      <c r="Q15" t="s">
        <v>25</v>
      </c>
      <c r="R15" s="2">
        <f t="shared" si="9"/>
        <v>1750</v>
      </c>
      <c r="S15" s="2">
        <f t="shared" si="0"/>
        <v>1925.0000000000002</v>
      </c>
      <c r="T15" s="2">
        <f t="shared" si="10"/>
        <v>1250</v>
      </c>
      <c r="U15" s="2">
        <f t="shared" si="1"/>
        <v>1375</v>
      </c>
      <c r="V15" s="2">
        <f t="shared" si="11"/>
        <v>2250</v>
      </c>
      <c r="W15" s="2">
        <f t="shared" si="2"/>
        <v>2475</v>
      </c>
    </row>
    <row r="16" spans="1:24" x14ac:dyDescent="0.25">
      <c r="A16" t="s">
        <v>50</v>
      </c>
      <c r="B16" t="s">
        <v>51</v>
      </c>
      <c r="C16" t="s">
        <v>52</v>
      </c>
      <c r="D16" t="s">
        <v>23</v>
      </c>
      <c r="E16" s="6">
        <f>ROUND('EVSE Products-NY'!E16*(1+$A$53),0)</f>
        <v>6654</v>
      </c>
      <c r="F16" s="2">
        <v>2750</v>
      </c>
      <c r="G16" s="2">
        <v>500</v>
      </c>
      <c r="H16" s="2">
        <v>500</v>
      </c>
      <c r="I16" s="2">
        <v>1500</v>
      </c>
      <c r="J16" s="2">
        <v>2500</v>
      </c>
      <c r="K16" s="2">
        <v>300</v>
      </c>
      <c r="L16" s="2">
        <v>900</v>
      </c>
      <c r="M16" s="2">
        <v>1500</v>
      </c>
      <c r="N16" s="2">
        <v>350</v>
      </c>
      <c r="O16">
        <v>2</v>
      </c>
      <c r="P16" t="s">
        <v>24</v>
      </c>
      <c r="Q16" t="s">
        <v>25</v>
      </c>
      <c r="R16" s="2">
        <f t="shared" si="9"/>
        <v>1750</v>
      </c>
      <c r="S16" s="2">
        <f t="shared" si="0"/>
        <v>1925.0000000000002</v>
      </c>
      <c r="T16" s="2">
        <f t="shared" si="10"/>
        <v>1250</v>
      </c>
      <c r="U16" s="2">
        <f t="shared" si="1"/>
        <v>1375</v>
      </c>
      <c r="V16" s="2">
        <f t="shared" si="11"/>
        <v>2250</v>
      </c>
      <c r="W16" s="2">
        <f t="shared" si="2"/>
        <v>2475</v>
      </c>
    </row>
    <row r="17" spans="1:23" x14ac:dyDescent="0.25">
      <c r="A17" t="s">
        <v>69</v>
      </c>
      <c r="B17" t="s">
        <v>70</v>
      </c>
      <c r="C17" t="s">
        <v>71</v>
      </c>
      <c r="D17" t="s">
        <v>23</v>
      </c>
      <c r="E17" s="6">
        <f>ROUND('EVSE Products-NY'!E19*(1+$A$53),0)</f>
        <v>60120</v>
      </c>
      <c r="F17" s="2">
        <v>36072</v>
      </c>
      <c r="G17" s="2">
        <v>680</v>
      </c>
      <c r="H17" s="2">
        <v>680</v>
      </c>
      <c r="I17" s="2">
        <v>2040</v>
      </c>
      <c r="J17" s="2">
        <v>3400</v>
      </c>
      <c r="K17" s="2">
        <v>480</v>
      </c>
      <c r="L17" s="2">
        <v>1440</v>
      </c>
      <c r="M17" s="2">
        <v>2400</v>
      </c>
      <c r="N17" s="2">
        <v>1250</v>
      </c>
      <c r="O17">
        <v>2</v>
      </c>
      <c r="P17" t="s">
        <v>24</v>
      </c>
      <c r="Q17" t="s">
        <v>72</v>
      </c>
      <c r="R17" s="2">
        <v>7700</v>
      </c>
      <c r="S17" s="2">
        <f t="shared" si="0"/>
        <v>8470</v>
      </c>
      <c r="T17" s="2">
        <v>3100</v>
      </c>
      <c r="U17" s="2">
        <f t="shared" si="1"/>
        <v>3410.0000000000005</v>
      </c>
      <c r="V17" s="6">
        <f>((R17-T17)*2)+T17</f>
        <v>12300</v>
      </c>
      <c r="W17" s="2">
        <f t="shared" si="2"/>
        <v>13530.000000000002</v>
      </c>
    </row>
    <row r="18" spans="1:23" x14ac:dyDescent="0.25">
      <c r="A18" t="s">
        <v>73</v>
      </c>
      <c r="B18" t="s">
        <v>74</v>
      </c>
      <c r="C18" t="s">
        <v>75</v>
      </c>
      <c r="D18" t="s">
        <v>23</v>
      </c>
      <c r="E18" s="6">
        <f>ROUND('EVSE Products-NY'!E20*(1+$A$53),0)</f>
        <v>65160</v>
      </c>
      <c r="F18" s="2">
        <v>39096</v>
      </c>
      <c r="G18" s="2">
        <v>680</v>
      </c>
      <c r="H18" s="2">
        <v>680</v>
      </c>
      <c r="I18" s="2">
        <v>2040</v>
      </c>
      <c r="J18" s="2">
        <v>3400</v>
      </c>
      <c r="K18" s="2">
        <v>480</v>
      </c>
      <c r="L18" s="2">
        <v>1440</v>
      </c>
      <c r="M18" s="2">
        <v>2400</v>
      </c>
      <c r="N18" s="2">
        <v>1250</v>
      </c>
      <c r="O18">
        <v>2</v>
      </c>
      <c r="P18" t="s">
        <v>24</v>
      </c>
      <c r="Q18" t="s">
        <v>72</v>
      </c>
      <c r="R18" s="2">
        <v>10000</v>
      </c>
      <c r="S18" s="2">
        <f t="shared" si="0"/>
        <v>11000</v>
      </c>
      <c r="T18" s="2">
        <v>4000</v>
      </c>
      <c r="U18" s="2">
        <f t="shared" si="1"/>
        <v>4400</v>
      </c>
      <c r="V18" s="6">
        <f t="shared" ref="V18:V27" si="12">((R18-T18)*2)+T18</f>
        <v>16000</v>
      </c>
      <c r="W18" s="2">
        <f t="shared" si="2"/>
        <v>17600</v>
      </c>
    </row>
    <row r="19" spans="1:23" x14ac:dyDescent="0.25">
      <c r="A19" t="s">
        <v>76</v>
      </c>
      <c r="B19" t="s">
        <v>77</v>
      </c>
      <c r="C19" t="s">
        <v>78</v>
      </c>
      <c r="D19" t="s">
        <v>23</v>
      </c>
      <c r="E19" s="6">
        <f>ROUND('EVSE Products-NY'!E21*(1+$A$53),0)</f>
        <v>80460</v>
      </c>
      <c r="F19" s="2">
        <v>48276</v>
      </c>
      <c r="G19" s="2">
        <v>680</v>
      </c>
      <c r="H19" s="2">
        <v>680</v>
      </c>
      <c r="I19" s="2">
        <v>2040</v>
      </c>
      <c r="J19" s="2">
        <v>3400</v>
      </c>
      <c r="K19" s="2">
        <v>480</v>
      </c>
      <c r="L19" s="2">
        <v>1440</v>
      </c>
      <c r="M19" s="2">
        <v>2400</v>
      </c>
      <c r="N19" s="2">
        <v>1250</v>
      </c>
      <c r="O19">
        <v>2</v>
      </c>
      <c r="P19" t="s">
        <v>24</v>
      </c>
      <c r="Q19" t="s">
        <v>72</v>
      </c>
      <c r="R19" s="2">
        <v>12200</v>
      </c>
      <c r="S19" s="2">
        <f t="shared" si="0"/>
        <v>13420.000000000002</v>
      </c>
      <c r="T19" s="2">
        <v>4900</v>
      </c>
      <c r="U19" s="2">
        <f t="shared" si="1"/>
        <v>5390</v>
      </c>
      <c r="V19" s="6">
        <f t="shared" si="12"/>
        <v>19500</v>
      </c>
      <c r="W19" s="2">
        <f t="shared" si="2"/>
        <v>21450</v>
      </c>
    </row>
    <row r="20" spans="1:23" x14ac:dyDescent="0.25">
      <c r="A20" t="s">
        <v>79</v>
      </c>
      <c r="B20" t="s">
        <v>80</v>
      </c>
      <c r="C20" t="s">
        <v>81</v>
      </c>
      <c r="D20" t="s">
        <v>23</v>
      </c>
      <c r="E20" s="6">
        <f>ROUND('EVSE Products-NY'!E22*(1+$A$53),0)</f>
        <v>99000</v>
      </c>
      <c r="F20" s="2">
        <v>59400</v>
      </c>
      <c r="G20" s="2">
        <v>680</v>
      </c>
      <c r="H20" s="2">
        <v>680</v>
      </c>
      <c r="I20" s="2">
        <v>2040</v>
      </c>
      <c r="J20" s="2">
        <v>3400</v>
      </c>
      <c r="K20" s="2">
        <v>480</v>
      </c>
      <c r="L20" s="2">
        <v>1440</v>
      </c>
      <c r="M20" s="2">
        <v>2400</v>
      </c>
      <c r="N20" s="2">
        <v>1250</v>
      </c>
      <c r="O20">
        <v>2</v>
      </c>
      <c r="P20" t="s">
        <v>24</v>
      </c>
      <c r="Q20" t="s">
        <v>72</v>
      </c>
      <c r="R20" s="2">
        <v>14500</v>
      </c>
      <c r="S20" s="2">
        <f t="shared" si="0"/>
        <v>15950.000000000002</v>
      </c>
      <c r="T20" s="2">
        <v>5800</v>
      </c>
      <c r="U20" s="2">
        <f t="shared" si="1"/>
        <v>6380.0000000000009</v>
      </c>
      <c r="V20" s="6">
        <f t="shared" si="12"/>
        <v>23200</v>
      </c>
      <c r="W20" s="2">
        <f t="shared" si="2"/>
        <v>25520.000000000004</v>
      </c>
    </row>
    <row r="21" spans="1:23" x14ac:dyDescent="0.25">
      <c r="A21" t="s">
        <v>82</v>
      </c>
      <c r="B21" t="s">
        <v>83</v>
      </c>
      <c r="C21" t="s">
        <v>84</v>
      </c>
      <c r="D21" t="s">
        <v>23</v>
      </c>
      <c r="E21" s="6">
        <f>ROUND('EVSE Products-NY'!E23*(1+$A$53),0)</f>
        <v>60120</v>
      </c>
      <c r="F21" s="2">
        <v>36072</v>
      </c>
      <c r="G21" s="2">
        <v>680</v>
      </c>
      <c r="H21" s="2">
        <v>680</v>
      </c>
      <c r="I21" s="2">
        <v>2040</v>
      </c>
      <c r="J21" s="2">
        <v>3400</v>
      </c>
      <c r="K21" s="2">
        <v>480</v>
      </c>
      <c r="L21" s="2">
        <v>1440</v>
      </c>
      <c r="M21" s="2">
        <v>2400</v>
      </c>
      <c r="N21" s="2">
        <v>1250</v>
      </c>
      <c r="O21">
        <v>2</v>
      </c>
      <c r="P21" t="s">
        <v>24</v>
      </c>
      <c r="Q21" t="s">
        <v>72</v>
      </c>
      <c r="R21" s="2">
        <v>7700</v>
      </c>
      <c r="S21" s="2">
        <f t="shared" si="0"/>
        <v>8470</v>
      </c>
      <c r="T21" s="2">
        <v>3100</v>
      </c>
      <c r="U21" s="2">
        <f t="shared" si="1"/>
        <v>3410.0000000000005</v>
      </c>
      <c r="V21" s="6">
        <f t="shared" si="12"/>
        <v>12300</v>
      </c>
      <c r="W21" s="2">
        <f t="shared" si="2"/>
        <v>13530.000000000002</v>
      </c>
    </row>
    <row r="22" spans="1:23" x14ac:dyDescent="0.25">
      <c r="A22" t="s">
        <v>85</v>
      </c>
      <c r="B22" t="s">
        <v>86</v>
      </c>
      <c r="C22" t="s">
        <v>87</v>
      </c>
      <c r="D22" t="s">
        <v>23</v>
      </c>
      <c r="E22" s="6">
        <f>ROUND('EVSE Products-NY'!E24*(1+$A$53),0)</f>
        <v>65160</v>
      </c>
      <c r="F22" s="2">
        <v>39096</v>
      </c>
      <c r="G22" s="2">
        <v>680</v>
      </c>
      <c r="H22" s="2">
        <v>680</v>
      </c>
      <c r="I22" s="2">
        <v>2040</v>
      </c>
      <c r="J22" s="2">
        <v>3400</v>
      </c>
      <c r="K22" s="2">
        <v>480</v>
      </c>
      <c r="L22" s="2">
        <v>1440</v>
      </c>
      <c r="M22" s="2">
        <v>2400</v>
      </c>
      <c r="N22" s="2">
        <v>1250</v>
      </c>
      <c r="O22">
        <v>2</v>
      </c>
      <c r="P22" t="s">
        <v>24</v>
      </c>
      <c r="Q22" t="s">
        <v>72</v>
      </c>
      <c r="R22" s="2">
        <v>10000</v>
      </c>
      <c r="S22" s="2">
        <f t="shared" si="0"/>
        <v>11000</v>
      </c>
      <c r="T22" s="2">
        <v>4000</v>
      </c>
      <c r="U22" s="2">
        <f t="shared" si="1"/>
        <v>4400</v>
      </c>
      <c r="V22" s="6">
        <f t="shared" si="12"/>
        <v>16000</v>
      </c>
      <c r="W22" s="2">
        <f t="shared" si="2"/>
        <v>17600</v>
      </c>
    </row>
    <row r="23" spans="1:23" x14ac:dyDescent="0.25">
      <c r="A23" t="s">
        <v>88</v>
      </c>
      <c r="B23" t="s">
        <v>89</v>
      </c>
      <c r="C23" t="s">
        <v>90</v>
      </c>
      <c r="D23" t="s">
        <v>23</v>
      </c>
      <c r="E23" s="6">
        <f>ROUND('EVSE Products-NY'!E25*(1+$A$53),0)</f>
        <v>80460</v>
      </c>
      <c r="F23" s="2">
        <v>48276</v>
      </c>
      <c r="G23" s="2">
        <v>680</v>
      </c>
      <c r="H23" s="2">
        <v>680</v>
      </c>
      <c r="I23" s="2">
        <v>2040</v>
      </c>
      <c r="J23" s="2">
        <v>3400</v>
      </c>
      <c r="K23" s="2">
        <v>480</v>
      </c>
      <c r="L23" s="2">
        <v>1440</v>
      </c>
      <c r="M23" s="2">
        <v>2400</v>
      </c>
      <c r="N23" s="2">
        <v>1250</v>
      </c>
      <c r="O23">
        <v>2</v>
      </c>
      <c r="P23" t="s">
        <v>24</v>
      </c>
      <c r="Q23" t="s">
        <v>72</v>
      </c>
      <c r="R23" s="2">
        <v>12200</v>
      </c>
      <c r="S23" s="2">
        <f t="shared" si="0"/>
        <v>13420.000000000002</v>
      </c>
      <c r="T23" s="2">
        <v>4900</v>
      </c>
      <c r="U23" s="2">
        <f t="shared" si="1"/>
        <v>5390</v>
      </c>
      <c r="V23" s="6">
        <f t="shared" si="12"/>
        <v>19500</v>
      </c>
      <c r="W23" s="2">
        <f t="shared" si="2"/>
        <v>21450</v>
      </c>
    </row>
    <row r="24" spans="1:23" x14ac:dyDescent="0.25">
      <c r="A24" t="s">
        <v>91</v>
      </c>
      <c r="B24" t="s">
        <v>92</v>
      </c>
      <c r="C24" t="s">
        <v>93</v>
      </c>
      <c r="D24" t="s">
        <v>23</v>
      </c>
      <c r="E24" s="6">
        <f>ROUND('EVSE Products-NY'!E26*(1+$A$53),0)</f>
        <v>99000</v>
      </c>
      <c r="F24" s="2">
        <v>59400</v>
      </c>
      <c r="G24" s="2">
        <v>680</v>
      </c>
      <c r="H24" s="2">
        <v>680</v>
      </c>
      <c r="I24" s="2">
        <v>2040</v>
      </c>
      <c r="J24" s="2">
        <v>3400</v>
      </c>
      <c r="K24" s="2">
        <v>480</v>
      </c>
      <c r="L24" s="2">
        <v>1440</v>
      </c>
      <c r="M24" s="2">
        <v>2400</v>
      </c>
      <c r="N24" s="2">
        <v>1250</v>
      </c>
      <c r="O24">
        <v>2</v>
      </c>
      <c r="P24" t="s">
        <v>24</v>
      </c>
      <c r="Q24" t="s">
        <v>72</v>
      </c>
      <c r="R24" s="2">
        <v>14500</v>
      </c>
      <c r="S24" s="2">
        <f t="shared" si="0"/>
        <v>15950.000000000002</v>
      </c>
      <c r="T24" s="2">
        <v>5800</v>
      </c>
      <c r="U24" s="2">
        <f t="shared" si="1"/>
        <v>6380.0000000000009</v>
      </c>
      <c r="V24" s="6">
        <f t="shared" si="12"/>
        <v>23200</v>
      </c>
      <c r="W24" s="2">
        <f t="shared" si="2"/>
        <v>25520.000000000004</v>
      </c>
    </row>
    <row r="25" spans="1:23" x14ac:dyDescent="0.25">
      <c r="A25" t="s">
        <v>103</v>
      </c>
      <c r="B25" t="s">
        <v>104</v>
      </c>
      <c r="C25" t="s">
        <v>105</v>
      </c>
      <c r="D25" t="s">
        <v>23</v>
      </c>
      <c r="E25" s="6">
        <f>ROUND('EVSE Products-NY'!E27*(1+$A$53),0)</f>
        <v>183334</v>
      </c>
      <c r="F25" s="2">
        <v>110000</v>
      </c>
      <c r="G25" s="2">
        <v>680</v>
      </c>
      <c r="H25" s="2">
        <v>680</v>
      </c>
      <c r="I25" s="2">
        <v>2040</v>
      </c>
      <c r="J25" s="2">
        <v>3400</v>
      </c>
      <c r="K25" s="2">
        <v>480</v>
      </c>
      <c r="L25" s="2">
        <v>1440</v>
      </c>
      <c r="M25" s="2">
        <v>2400</v>
      </c>
      <c r="N25" s="2">
        <v>1250</v>
      </c>
      <c r="O25">
        <v>2</v>
      </c>
      <c r="P25" t="s">
        <v>24</v>
      </c>
      <c r="Q25" t="s">
        <v>72</v>
      </c>
      <c r="R25" s="2">
        <v>25000</v>
      </c>
      <c r="S25" s="2">
        <f t="shared" si="0"/>
        <v>27500.000000000004</v>
      </c>
      <c r="T25" s="2">
        <v>20000</v>
      </c>
      <c r="U25" s="2">
        <f t="shared" si="1"/>
        <v>22000</v>
      </c>
      <c r="V25" s="2">
        <f t="shared" si="12"/>
        <v>30000</v>
      </c>
      <c r="W25" s="2">
        <f t="shared" si="2"/>
        <v>33000</v>
      </c>
    </row>
    <row r="26" spans="1:23" x14ac:dyDescent="0.25">
      <c r="A26" t="s">
        <v>106</v>
      </c>
      <c r="B26" t="s">
        <v>107</v>
      </c>
      <c r="C26" t="s">
        <v>108</v>
      </c>
      <c r="D26" t="s">
        <v>23</v>
      </c>
      <c r="E26" s="6">
        <f>ROUND('EVSE Products-NY'!E28*(1+$A$53),0)</f>
        <v>183334</v>
      </c>
      <c r="F26" s="2">
        <v>110000</v>
      </c>
      <c r="G26" s="2">
        <v>680</v>
      </c>
      <c r="H26" s="2">
        <v>680</v>
      </c>
      <c r="I26" s="2">
        <v>2040</v>
      </c>
      <c r="J26" s="2">
        <v>3400</v>
      </c>
      <c r="K26" s="2">
        <v>480</v>
      </c>
      <c r="L26" s="2">
        <v>1440</v>
      </c>
      <c r="M26" s="2">
        <v>2400</v>
      </c>
      <c r="N26" s="2">
        <v>1250</v>
      </c>
      <c r="O26">
        <v>2</v>
      </c>
      <c r="P26" t="s">
        <v>24</v>
      </c>
      <c r="Q26" t="s">
        <v>72</v>
      </c>
      <c r="R26" s="2">
        <v>25000</v>
      </c>
      <c r="S26" s="2">
        <f t="shared" si="0"/>
        <v>27500.000000000004</v>
      </c>
      <c r="T26" s="2">
        <v>20000</v>
      </c>
      <c r="U26" s="2">
        <f t="shared" si="1"/>
        <v>22000</v>
      </c>
      <c r="V26" s="2">
        <f t="shared" si="12"/>
        <v>30000</v>
      </c>
      <c r="W26" s="2">
        <f t="shared" si="2"/>
        <v>33000</v>
      </c>
    </row>
    <row r="27" spans="1:23" x14ac:dyDescent="0.25">
      <c r="A27" t="s">
        <v>109</v>
      </c>
      <c r="B27" t="s">
        <v>110</v>
      </c>
      <c r="C27" t="s">
        <v>111</v>
      </c>
      <c r="D27" t="s">
        <v>23</v>
      </c>
      <c r="E27" s="6">
        <f>ROUND('EVSE Products-NY'!E29*(1+$A$53),0)</f>
        <v>183334</v>
      </c>
      <c r="F27" s="2">
        <v>110000</v>
      </c>
      <c r="G27" s="2">
        <v>680</v>
      </c>
      <c r="H27" s="2">
        <v>680</v>
      </c>
      <c r="I27" s="2">
        <v>2040</v>
      </c>
      <c r="J27" s="2">
        <v>3400</v>
      </c>
      <c r="K27" s="2">
        <v>480</v>
      </c>
      <c r="L27" s="2">
        <v>1440</v>
      </c>
      <c r="M27" s="2">
        <v>2400</v>
      </c>
      <c r="N27" s="2">
        <v>1250</v>
      </c>
      <c r="O27">
        <v>2</v>
      </c>
      <c r="P27" t="s">
        <v>24</v>
      </c>
      <c r="Q27" t="s">
        <v>72</v>
      </c>
      <c r="R27" s="2">
        <v>25000</v>
      </c>
      <c r="S27" s="2">
        <f t="shared" si="0"/>
        <v>27500.000000000004</v>
      </c>
      <c r="T27" s="2">
        <v>20000</v>
      </c>
      <c r="U27" s="2">
        <f t="shared" si="1"/>
        <v>22000</v>
      </c>
      <c r="V27" s="2">
        <f t="shared" si="12"/>
        <v>30000</v>
      </c>
      <c r="W27" s="2">
        <f t="shared" si="2"/>
        <v>33000</v>
      </c>
    </row>
    <row r="28" spans="1:23" x14ac:dyDescent="0.25">
      <c r="A28" t="s">
        <v>94</v>
      </c>
      <c r="B28" t="s">
        <v>95</v>
      </c>
      <c r="C28" t="s">
        <v>96</v>
      </c>
      <c r="D28" t="s">
        <v>23</v>
      </c>
      <c r="E28" s="6">
        <f>ROUND('EVSE Products-NY'!E30*(1+$A$53),0)</f>
        <v>246166</v>
      </c>
      <c r="F28" s="2">
        <v>147700</v>
      </c>
      <c r="G28" s="2">
        <v>1360</v>
      </c>
      <c r="H28" s="2">
        <v>1360</v>
      </c>
      <c r="I28" s="2">
        <v>4080</v>
      </c>
      <c r="J28" s="2">
        <v>6800</v>
      </c>
      <c r="K28" s="2">
        <v>960</v>
      </c>
      <c r="L28" s="2">
        <v>2880</v>
      </c>
      <c r="M28" s="2">
        <v>4800</v>
      </c>
      <c r="N28" s="2">
        <v>1250</v>
      </c>
      <c r="O28">
        <v>4</v>
      </c>
      <c r="P28" t="s">
        <v>24</v>
      </c>
      <c r="Q28" t="s">
        <v>72</v>
      </c>
      <c r="R28" s="6">
        <f>R25*2</f>
        <v>50000</v>
      </c>
      <c r="S28" s="2">
        <f t="shared" si="0"/>
        <v>55000.000000000007</v>
      </c>
      <c r="T28" s="6">
        <f>T25*2</f>
        <v>40000</v>
      </c>
      <c r="U28" s="2">
        <f t="shared" si="1"/>
        <v>44000</v>
      </c>
      <c r="V28" s="6">
        <f>V25*2</f>
        <v>60000</v>
      </c>
      <c r="W28" s="2">
        <f t="shared" si="2"/>
        <v>66000</v>
      </c>
    </row>
    <row r="29" spans="1:23" x14ac:dyDescent="0.25">
      <c r="A29" t="s">
        <v>97</v>
      </c>
      <c r="B29" t="s">
        <v>98</v>
      </c>
      <c r="C29" t="s">
        <v>99</v>
      </c>
      <c r="D29" t="s">
        <v>23</v>
      </c>
      <c r="E29" s="6">
        <f>ROUND('EVSE Products-NY'!E31*(1+$A$53),0)</f>
        <v>246166</v>
      </c>
      <c r="F29" s="2">
        <v>147700</v>
      </c>
      <c r="G29" s="2">
        <v>1360</v>
      </c>
      <c r="H29" s="2">
        <v>1360</v>
      </c>
      <c r="I29" s="2">
        <v>4080</v>
      </c>
      <c r="J29" s="2">
        <v>6800</v>
      </c>
      <c r="K29" s="2">
        <v>960</v>
      </c>
      <c r="L29" s="2">
        <v>2880</v>
      </c>
      <c r="M29" s="2">
        <v>4800</v>
      </c>
      <c r="N29" s="2">
        <v>1250</v>
      </c>
      <c r="O29">
        <v>4</v>
      </c>
      <c r="P29" t="s">
        <v>24</v>
      </c>
      <c r="Q29" t="s">
        <v>72</v>
      </c>
      <c r="R29" s="6">
        <f t="shared" ref="R29:T30" si="13">R26*2</f>
        <v>50000</v>
      </c>
      <c r="S29" s="2">
        <f t="shared" si="0"/>
        <v>55000.000000000007</v>
      </c>
      <c r="T29" s="6">
        <f t="shared" si="13"/>
        <v>40000</v>
      </c>
      <c r="U29" s="2">
        <f t="shared" si="1"/>
        <v>44000</v>
      </c>
      <c r="V29" s="6">
        <f t="shared" ref="V29:V30" si="14">V26*2</f>
        <v>60000</v>
      </c>
      <c r="W29" s="2">
        <f t="shared" si="2"/>
        <v>66000</v>
      </c>
    </row>
    <row r="30" spans="1:23" x14ac:dyDescent="0.25">
      <c r="A30" t="s">
        <v>100</v>
      </c>
      <c r="B30" t="s">
        <v>101</v>
      </c>
      <c r="C30" t="s">
        <v>102</v>
      </c>
      <c r="D30" t="s">
        <v>23</v>
      </c>
      <c r="E30" s="6">
        <f>ROUND('EVSE Products-NY'!E32*(1+$A$53),0)</f>
        <v>246166</v>
      </c>
      <c r="F30" s="2">
        <v>147700</v>
      </c>
      <c r="G30" s="2">
        <v>1360</v>
      </c>
      <c r="H30" s="2">
        <v>1360</v>
      </c>
      <c r="I30" s="2">
        <v>4080</v>
      </c>
      <c r="J30" s="2">
        <v>6800</v>
      </c>
      <c r="K30" s="2">
        <v>960</v>
      </c>
      <c r="L30" s="2">
        <v>2880</v>
      </c>
      <c r="M30" s="2">
        <v>4800</v>
      </c>
      <c r="N30" s="2">
        <v>1250</v>
      </c>
      <c r="O30">
        <v>4</v>
      </c>
      <c r="P30" t="s">
        <v>24</v>
      </c>
      <c r="Q30" t="s">
        <v>72</v>
      </c>
      <c r="R30" s="6">
        <f t="shared" si="13"/>
        <v>50000</v>
      </c>
      <c r="S30" s="2">
        <f t="shared" si="0"/>
        <v>55000.000000000007</v>
      </c>
      <c r="T30" s="6">
        <f t="shared" si="13"/>
        <v>40000</v>
      </c>
      <c r="U30" s="2">
        <f t="shared" si="1"/>
        <v>44000</v>
      </c>
      <c r="V30" s="6">
        <f t="shared" si="14"/>
        <v>60000</v>
      </c>
      <c r="W30" s="2">
        <f t="shared" si="2"/>
        <v>66000</v>
      </c>
    </row>
    <row r="53" spans="1:1" ht="21" x14ac:dyDescent="0.35">
      <c r="A53" s="7">
        <v>0.25</v>
      </c>
    </row>
    <row r="54" spans="1:1" x14ac:dyDescent="0.25">
      <c r="A54" s="9" t="s">
        <v>368</v>
      </c>
    </row>
  </sheetData>
  <autoFilter ref="A1:W1" xr:uid="{00000000-0001-0000-0000-000000000000}">
    <sortState xmlns:xlrd2="http://schemas.microsoft.com/office/spreadsheetml/2017/richdata2" ref="A2:W30">
      <sortCondition ref="O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CBC88"/>
  </sheetPr>
  <dimension ref="A1:H8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3" width="55" customWidth="1"/>
    <col min="4" max="4" width="18" customWidth="1"/>
    <col min="5" max="5" width="16" customWidth="1"/>
    <col min="6" max="6" width="12" customWidth="1"/>
    <col min="7" max="8" width="30" customWidth="1"/>
  </cols>
  <sheetData>
    <row r="1" spans="1:8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</row>
    <row r="2" spans="1:8" x14ac:dyDescent="0.25">
      <c r="A2" t="s">
        <v>117</v>
      </c>
      <c r="B2" t="s">
        <v>118</v>
      </c>
      <c r="C2" t="s">
        <v>119</v>
      </c>
      <c r="D2" s="3">
        <v>1000</v>
      </c>
      <c r="E2" s="3">
        <v>5000</v>
      </c>
      <c r="F2" t="s">
        <v>120</v>
      </c>
      <c r="G2" t="s">
        <v>121</v>
      </c>
      <c r="H2" t="s">
        <v>122</v>
      </c>
    </row>
    <row r="3" spans="1:8" x14ac:dyDescent="0.25">
      <c r="A3" t="s">
        <v>123</v>
      </c>
      <c r="B3" t="s">
        <v>124</v>
      </c>
      <c r="C3" t="s">
        <v>125</v>
      </c>
      <c r="D3" s="3">
        <v>3500</v>
      </c>
      <c r="E3" s="3">
        <v>5000</v>
      </c>
      <c r="F3" t="s">
        <v>120</v>
      </c>
      <c r="G3" t="s">
        <v>121</v>
      </c>
      <c r="H3" t="s">
        <v>122</v>
      </c>
    </row>
    <row r="4" spans="1:8" x14ac:dyDescent="0.25">
      <c r="A4" t="s">
        <v>126</v>
      </c>
      <c r="B4" t="s">
        <v>127</v>
      </c>
      <c r="C4" t="s">
        <v>128</v>
      </c>
      <c r="D4" s="3">
        <v>12000</v>
      </c>
      <c r="E4" s="3">
        <v>5000</v>
      </c>
      <c r="F4" t="s">
        <v>120</v>
      </c>
      <c r="G4" t="s">
        <v>121</v>
      </c>
      <c r="H4" t="s">
        <v>122</v>
      </c>
    </row>
    <row r="5" spans="1:8" x14ac:dyDescent="0.25">
      <c r="A5" t="s">
        <v>129</v>
      </c>
      <c r="B5" t="s">
        <v>130</v>
      </c>
      <c r="C5" t="s">
        <v>131</v>
      </c>
      <c r="D5" s="3">
        <v>15000</v>
      </c>
      <c r="E5" s="3">
        <v>5000</v>
      </c>
      <c r="F5" t="s">
        <v>120</v>
      </c>
      <c r="G5" t="s">
        <v>121</v>
      </c>
      <c r="H5" t="s">
        <v>122</v>
      </c>
    </row>
    <row r="6" spans="1:8" x14ac:dyDescent="0.25">
      <c r="A6" t="s">
        <v>132</v>
      </c>
      <c r="B6" t="s">
        <v>133</v>
      </c>
      <c r="C6" t="s">
        <v>134</v>
      </c>
      <c r="D6" s="3">
        <v>17500</v>
      </c>
      <c r="E6" s="3">
        <v>5000</v>
      </c>
      <c r="F6" t="s">
        <v>120</v>
      </c>
      <c r="G6" t="s">
        <v>121</v>
      </c>
      <c r="H6" t="s">
        <v>122</v>
      </c>
    </row>
    <row r="7" spans="1:8" x14ac:dyDescent="0.25">
      <c r="A7" t="s">
        <v>135</v>
      </c>
      <c r="B7" t="s">
        <v>136</v>
      </c>
      <c r="C7" t="s">
        <v>137</v>
      </c>
      <c r="D7" s="3">
        <v>20000</v>
      </c>
      <c r="E7" s="3">
        <v>5000</v>
      </c>
      <c r="F7" t="s">
        <v>120</v>
      </c>
      <c r="G7" t="s">
        <v>121</v>
      </c>
      <c r="H7" t="s">
        <v>122</v>
      </c>
    </row>
    <row r="8" spans="1:8" x14ac:dyDescent="0.25">
      <c r="A8" t="s">
        <v>138</v>
      </c>
      <c r="B8" t="s">
        <v>139</v>
      </c>
      <c r="C8" t="s">
        <v>140</v>
      </c>
      <c r="D8" s="3">
        <v>30000</v>
      </c>
      <c r="E8" s="3">
        <v>5000</v>
      </c>
      <c r="F8" t="s">
        <v>120</v>
      </c>
      <c r="G8" t="s">
        <v>121</v>
      </c>
      <c r="H8" t="s">
        <v>122</v>
      </c>
    </row>
    <row r="9" spans="1:8" x14ac:dyDescent="0.25">
      <c r="A9" t="s">
        <v>141</v>
      </c>
      <c r="B9" t="s">
        <v>142</v>
      </c>
      <c r="C9" t="s">
        <v>143</v>
      </c>
      <c r="D9" s="3">
        <v>50000</v>
      </c>
      <c r="E9" s="3">
        <v>5000</v>
      </c>
      <c r="F9" t="s">
        <v>120</v>
      </c>
      <c r="G9" t="s">
        <v>121</v>
      </c>
      <c r="H9" t="s">
        <v>122</v>
      </c>
    </row>
    <row r="10" spans="1:8" x14ac:dyDescent="0.25">
      <c r="A10" t="s">
        <v>144</v>
      </c>
      <c r="B10" t="s">
        <v>145</v>
      </c>
      <c r="C10" t="s">
        <v>119</v>
      </c>
      <c r="D10" s="3">
        <v>16000</v>
      </c>
      <c r="E10" s="3">
        <v>15000</v>
      </c>
      <c r="F10" t="s">
        <v>120</v>
      </c>
      <c r="G10" t="s">
        <v>121</v>
      </c>
      <c r="H10" t="s">
        <v>122</v>
      </c>
    </row>
    <row r="11" spans="1:8" x14ac:dyDescent="0.25">
      <c r="A11" t="s">
        <v>146</v>
      </c>
      <c r="B11" t="s">
        <v>147</v>
      </c>
      <c r="C11" t="s">
        <v>125</v>
      </c>
      <c r="D11" s="3">
        <v>23500</v>
      </c>
      <c r="E11" s="3">
        <v>15000</v>
      </c>
      <c r="F11" t="s">
        <v>120</v>
      </c>
      <c r="G11" t="s">
        <v>121</v>
      </c>
      <c r="H11" t="s">
        <v>122</v>
      </c>
    </row>
    <row r="12" spans="1:8" x14ac:dyDescent="0.25">
      <c r="A12" t="s">
        <v>148</v>
      </c>
      <c r="B12" t="s">
        <v>149</v>
      </c>
      <c r="C12" t="s">
        <v>128</v>
      </c>
      <c r="D12" s="3">
        <v>25000</v>
      </c>
      <c r="E12" s="3">
        <v>15000</v>
      </c>
      <c r="F12" t="s">
        <v>120</v>
      </c>
      <c r="G12" t="s">
        <v>121</v>
      </c>
      <c r="H12" t="s">
        <v>122</v>
      </c>
    </row>
    <row r="13" spans="1:8" x14ac:dyDescent="0.25">
      <c r="A13" t="s">
        <v>150</v>
      </c>
      <c r="B13" t="s">
        <v>151</v>
      </c>
      <c r="C13" t="s">
        <v>131</v>
      </c>
      <c r="D13" s="3">
        <v>30000</v>
      </c>
      <c r="E13" s="3">
        <v>15000</v>
      </c>
      <c r="F13" t="s">
        <v>120</v>
      </c>
      <c r="G13" t="s">
        <v>121</v>
      </c>
      <c r="H13" t="s">
        <v>122</v>
      </c>
    </row>
    <row r="14" spans="1:8" x14ac:dyDescent="0.25">
      <c r="A14" t="s">
        <v>152</v>
      </c>
      <c r="B14" t="s">
        <v>153</v>
      </c>
      <c r="C14" t="s">
        <v>134</v>
      </c>
      <c r="D14" s="3">
        <v>40000</v>
      </c>
      <c r="E14" s="3">
        <v>15000</v>
      </c>
      <c r="F14" t="s">
        <v>120</v>
      </c>
      <c r="G14" t="s">
        <v>121</v>
      </c>
      <c r="H14" t="s">
        <v>122</v>
      </c>
    </row>
    <row r="15" spans="1:8" x14ac:dyDescent="0.25">
      <c r="A15" t="s">
        <v>154</v>
      </c>
      <c r="B15" t="s">
        <v>155</v>
      </c>
      <c r="C15" t="s">
        <v>137</v>
      </c>
      <c r="D15" s="3">
        <v>55000</v>
      </c>
      <c r="E15" s="3">
        <v>15000</v>
      </c>
      <c r="F15" t="s">
        <v>120</v>
      </c>
      <c r="G15" t="s">
        <v>121</v>
      </c>
      <c r="H15" t="s">
        <v>122</v>
      </c>
    </row>
    <row r="16" spans="1:8" x14ac:dyDescent="0.25">
      <c r="A16" t="s">
        <v>156</v>
      </c>
      <c r="B16" t="s">
        <v>157</v>
      </c>
      <c r="C16" t="s">
        <v>140</v>
      </c>
      <c r="D16" s="3">
        <v>60000</v>
      </c>
      <c r="E16" s="3">
        <v>15000</v>
      </c>
      <c r="F16" t="s">
        <v>120</v>
      </c>
      <c r="G16" t="s">
        <v>121</v>
      </c>
      <c r="H16" t="s">
        <v>122</v>
      </c>
    </row>
    <row r="17" spans="1:8" x14ac:dyDescent="0.25">
      <c r="A17" t="s">
        <v>158</v>
      </c>
      <c r="B17" t="s">
        <v>159</v>
      </c>
      <c r="C17" t="s">
        <v>143</v>
      </c>
      <c r="D17" s="3">
        <v>65000</v>
      </c>
      <c r="E17" s="3">
        <v>15000</v>
      </c>
      <c r="F17" t="s">
        <v>120</v>
      </c>
      <c r="G17" t="s">
        <v>121</v>
      </c>
      <c r="H17" t="s">
        <v>122</v>
      </c>
    </row>
    <row r="18" spans="1:8" x14ac:dyDescent="0.25">
      <c r="A18" t="s">
        <v>160</v>
      </c>
      <c r="B18" t="s">
        <v>161</v>
      </c>
      <c r="C18" t="s">
        <v>162</v>
      </c>
      <c r="D18" s="3">
        <v>50</v>
      </c>
      <c r="E18" s="3">
        <v>100</v>
      </c>
      <c r="F18" t="s">
        <v>120</v>
      </c>
      <c r="G18" t="s">
        <v>163</v>
      </c>
      <c r="H18" t="s">
        <v>164</v>
      </c>
    </row>
    <row r="19" spans="1:8" x14ac:dyDescent="0.25">
      <c r="A19" t="s">
        <v>165</v>
      </c>
      <c r="B19" t="s">
        <v>166</v>
      </c>
      <c r="C19" t="s">
        <v>167</v>
      </c>
      <c r="D19" s="3">
        <v>75</v>
      </c>
      <c r="E19" s="3">
        <v>100</v>
      </c>
      <c r="F19" t="s">
        <v>120</v>
      </c>
      <c r="G19" t="s">
        <v>163</v>
      </c>
      <c r="H19" t="s">
        <v>164</v>
      </c>
    </row>
    <row r="20" spans="1:8" x14ac:dyDescent="0.25">
      <c r="A20" t="s">
        <v>168</v>
      </c>
      <c r="B20" t="s">
        <v>169</v>
      </c>
      <c r="C20" t="s">
        <v>170</v>
      </c>
      <c r="D20" s="3">
        <v>100</v>
      </c>
      <c r="E20" s="3">
        <v>100</v>
      </c>
      <c r="F20" t="s">
        <v>120</v>
      </c>
      <c r="G20" t="s">
        <v>163</v>
      </c>
      <c r="H20" t="s">
        <v>164</v>
      </c>
    </row>
    <row r="21" spans="1:8" x14ac:dyDescent="0.25">
      <c r="A21" t="s">
        <v>171</v>
      </c>
      <c r="B21" t="s">
        <v>172</v>
      </c>
      <c r="C21" t="s">
        <v>173</v>
      </c>
      <c r="D21" s="3">
        <v>100</v>
      </c>
      <c r="E21" s="3">
        <v>100</v>
      </c>
      <c r="F21" t="s">
        <v>120</v>
      </c>
      <c r="G21" t="s">
        <v>163</v>
      </c>
      <c r="H21" t="s">
        <v>164</v>
      </c>
    </row>
    <row r="22" spans="1:8" x14ac:dyDescent="0.25">
      <c r="A22" t="s">
        <v>174</v>
      </c>
      <c r="B22" t="s">
        <v>175</v>
      </c>
      <c r="C22" t="s">
        <v>176</v>
      </c>
      <c r="D22" s="3">
        <v>200</v>
      </c>
      <c r="E22" s="3">
        <v>100</v>
      </c>
      <c r="F22" t="s">
        <v>120</v>
      </c>
      <c r="G22" t="s">
        <v>163</v>
      </c>
      <c r="H22" t="s">
        <v>164</v>
      </c>
    </row>
    <row r="23" spans="1:8" x14ac:dyDescent="0.25">
      <c r="A23" t="s">
        <v>177</v>
      </c>
      <c r="B23" t="s">
        <v>178</v>
      </c>
      <c r="C23" t="s">
        <v>179</v>
      </c>
      <c r="D23" s="3">
        <v>300</v>
      </c>
      <c r="E23" s="3">
        <v>100</v>
      </c>
      <c r="F23" t="s">
        <v>120</v>
      </c>
      <c r="G23" t="s">
        <v>163</v>
      </c>
      <c r="H23" t="s">
        <v>164</v>
      </c>
    </row>
    <row r="24" spans="1:8" x14ac:dyDescent="0.25">
      <c r="A24" t="s">
        <v>180</v>
      </c>
      <c r="B24" t="s">
        <v>181</v>
      </c>
      <c r="C24" t="s">
        <v>182</v>
      </c>
      <c r="D24" s="3">
        <v>400</v>
      </c>
      <c r="E24" s="3">
        <v>100</v>
      </c>
      <c r="F24" t="s">
        <v>120</v>
      </c>
      <c r="G24" t="s">
        <v>163</v>
      </c>
      <c r="H24" t="s">
        <v>164</v>
      </c>
    </row>
    <row r="25" spans="1:8" x14ac:dyDescent="0.25">
      <c r="A25" t="s">
        <v>183</v>
      </c>
      <c r="B25" t="s">
        <v>184</v>
      </c>
      <c r="C25" t="s">
        <v>185</v>
      </c>
      <c r="D25" s="3">
        <v>1000</v>
      </c>
      <c r="E25" s="3">
        <v>200</v>
      </c>
      <c r="F25" t="s">
        <v>120</v>
      </c>
      <c r="G25" t="s">
        <v>163</v>
      </c>
      <c r="H25" t="s">
        <v>164</v>
      </c>
    </row>
    <row r="26" spans="1:8" x14ac:dyDescent="0.25">
      <c r="A26" t="s">
        <v>186</v>
      </c>
      <c r="B26" t="s">
        <v>187</v>
      </c>
      <c r="C26" t="s">
        <v>188</v>
      </c>
      <c r="D26" s="3">
        <v>1250</v>
      </c>
      <c r="E26" s="3">
        <v>200</v>
      </c>
      <c r="F26" t="s">
        <v>120</v>
      </c>
      <c r="G26" t="s">
        <v>163</v>
      </c>
      <c r="H26" t="s">
        <v>164</v>
      </c>
    </row>
    <row r="27" spans="1:8" x14ac:dyDescent="0.25">
      <c r="A27" t="s">
        <v>189</v>
      </c>
      <c r="B27" t="s">
        <v>190</v>
      </c>
      <c r="C27" t="s">
        <v>191</v>
      </c>
      <c r="D27" s="3">
        <v>1500</v>
      </c>
      <c r="E27" s="3">
        <v>200</v>
      </c>
      <c r="F27" t="s">
        <v>120</v>
      </c>
      <c r="G27" t="s">
        <v>163</v>
      </c>
      <c r="H27" t="s">
        <v>164</v>
      </c>
    </row>
    <row r="28" spans="1:8" x14ac:dyDescent="0.25">
      <c r="A28" t="s">
        <v>192</v>
      </c>
      <c r="B28" t="s">
        <v>193</v>
      </c>
      <c r="C28" t="s">
        <v>194</v>
      </c>
      <c r="D28" s="3">
        <v>2000</v>
      </c>
      <c r="E28" s="3">
        <v>200</v>
      </c>
      <c r="F28" t="s">
        <v>120</v>
      </c>
      <c r="G28" t="s">
        <v>163</v>
      </c>
      <c r="H28" t="s">
        <v>164</v>
      </c>
    </row>
    <row r="29" spans="1:8" x14ac:dyDescent="0.25">
      <c r="A29" t="s">
        <v>195</v>
      </c>
      <c r="B29" t="s">
        <v>196</v>
      </c>
      <c r="C29" t="s">
        <v>197</v>
      </c>
      <c r="D29" s="3">
        <v>2500</v>
      </c>
      <c r="E29" s="3">
        <v>200</v>
      </c>
      <c r="F29" t="s">
        <v>120</v>
      </c>
      <c r="G29" t="s">
        <v>163</v>
      </c>
      <c r="H29" t="s">
        <v>164</v>
      </c>
    </row>
    <row r="30" spans="1:8" x14ac:dyDescent="0.25">
      <c r="A30" t="s">
        <v>198</v>
      </c>
      <c r="B30" t="s">
        <v>199</v>
      </c>
      <c r="C30" t="s">
        <v>200</v>
      </c>
      <c r="D30" s="3">
        <v>500</v>
      </c>
      <c r="E30" s="3">
        <v>3500</v>
      </c>
      <c r="F30" t="s">
        <v>120</v>
      </c>
      <c r="G30" t="s">
        <v>201</v>
      </c>
      <c r="H30" t="s">
        <v>164</v>
      </c>
    </row>
    <row r="31" spans="1:8" x14ac:dyDescent="0.25">
      <c r="A31" t="s">
        <v>202</v>
      </c>
      <c r="B31" t="s">
        <v>203</v>
      </c>
      <c r="C31" t="s">
        <v>204</v>
      </c>
      <c r="D31" s="3">
        <v>1500</v>
      </c>
      <c r="E31" s="3">
        <v>3500</v>
      </c>
      <c r="F31" t="s">
        <v>120</v>
      </c>
      <c r="G31" t="s">
        <v>201</v>
      </c>
      <c r="H31" t="s">
        <v>164</v>
      </c>
    </row>
    <row r="32" spans="1:8" x14ac:dyDescent="0.25">
      <c r="A32" t="s">
        <v>205</v>
      </c>
      <c r="B32" t="s">
        <v>206</v>
      </c>
      <c r="C32" t="s">
        <v>207</v>
      </c>
      <c r="D32" s="3">
        <v>2500</v>
      </c>
      <c r="E32" s="3">
        <v>4000</v>
      </c>
      <c r="F32" t="s">
        <v>120</v>
      </c>
      <c r="G32" t="s">
        <v>201</v>
      </c>
      <c r="H32" t="s">
        <v>164</v>
      </c>
    </row>
    <row r="33" spans="1:8" x14ac:dyDescent="0.25">
      <c r="A33" t="s">
        <v>208</v>
      </c>
      <c r="B33" t="s">
        <v>209</v>
      </c>
      <c r="C33" t="s">
        <v>210</v>
      </c>
      <c r="D33" s="3">
        <v>3500</v>
      </c>
      <c r="E33" s="3">
        <v>5000</v>
      </c>
      <c r="F33" t="s">
        <v>120</v>
      </c>
      <c r="G33" t="s">
        <v>201</v>
      </c>
      <c r="H33" t="s">
        <v>164</v>
      </c>
    </row>
    <row r="34" spans="1:8" x14ac:dyDescent="0.25">
      <c r="A34" t="s">
        <v>211</v>
      </c>
      <c r="B34" t="s">
        <v>212</v>
      </c>
      <c r="C34" t="s">
        <v>213</v>
      </c>
      <c r="D34" s="3">
        <v>4950</v>
      </c>
      <c r="E34" s="3">
        <v>5000</v>
      </c>
      <c r="F34" t="s">
        <v>120</v>
      </c>
      <c r="G34" t="s">
        <v>201</v>
      </c>
      <c r="H34" t="s">
        <v>164</v>
      </c>
    </row>
    <row r="35" spans="1:8" x14ac:dyDescent="0.25">
      <c r="A35" t="s">
        <v>214</v>
      </c>
      <c r="B35" t="s">
        <v>215</v>
      </c>
      <c r="C35" t="s">
        <v>216</v>
      </c>
      <c r="D35" s="3">
        <v>4500</v>
      </c>
      <c r="E35" s="3">
        <v>2500</v>
      </c>
      <c r="F35" t="s">
        <v>120</v>
      </c>
      <c r="G35" t="s">
        <v>217</v>
      </c>
      <c r="H35" t="s">
        <v>164</v>
      </c>
    </row>
    <row r="36" spans="1:8" x14ac:dyDescent="0.25">
      <c r="A36" t="s">
        <v>218</v>
      </c>
      <c r="B36" t="s">
        <v>219</v>
      </c>
      <c r="C36" t="s">
        <v>220</v>
      </c>
      <c r="D36" s="3">
        <v>6500</v>
      </c>
      <c r="E36" s="3">
        <v>2500</v>
      </c>
      <c r="F36" t="s">
        <v>120</v>
      </c>
      <c r="G36" t="s">
        <v>217</v>
      </c>
      <c r="H36" t="s">
        <v>164</v>
      </c>
    </row>
    <row r="37" spans="1:8" x14ac:dyDescent="0.25">
      <c r="A37" t="s">
        <v>221</v>
      </c>
      <c r="B37" t="s">
        <v>222</v>
      </c>
      <c r="C37" t="s">
        <v>223</v>
      </c>
      <c r="D37" s="3">
        <v>9000</v>
      </c>
      <c r="E37" s="3">
        <v>12500</v>
      </c>
      <c r="F37" t="s">
        <v>120</v>
      </c>
      <c r="G37" t="s">
        <v>217</v>
      </c>
      <c r="H37" t="s">
        <v>224</v>
      </c>
    </row>
    <row r="38" spans="1:8" x14ac:dyDescent="0.25">
      <c r="A38" t="s">
        <v>225</v>
      </c>
      <c r="B38" t="s">
        <v>226</v>
      </c>
      <c r="C38" t="s">
        <v>227</v>
      </c>
      <c r="D38" s="3">
        <v>3</v>
      </c>
      <c r="E38" s="3">
        <v>4</v>
      </c>
      <c r="F38" t="s">
        <v>228</v>
      </c>
      <c r="G38" t="s">
        <v>229</v>
      </c>
      <c r="H38" t="s">
        <v>164</v>
      </c>
    </row>
    <row r="39" spans="1:8" x14ac:dyDescent="0.25">
      <c r="A39" t="s">
        <v>230</v>
      </c>
      <c r="B39" t="s">
        <v>231</v>
      </c>
      <c r="C39" t="s">
        <v>232</v>
      </c>
      <c r="D39" s="3">
        <v>4</v>
      </c>
      <c r="E39" s="3">
        <v>5</v>
      </c>
      <c r="F39" t="s">
        <v>228</v>
      </c>
      <c r="G39" t="s">
        <v>229</v>
      </c>
      <c r="H39" t="s">
        <v>164</v>
      </c>
    </row>
    <row r="40" spans="1:8" x14ac:dyDescent="0.25">
      <c r="A40" t="s">
        <v>233</v>
      </c>
      <c r="B40" t="s">
        <v>234</v>
      </c>
      <c r="C40" t="s">
        <v>227</v>
      </c>
      <c r="D40" s="3">
        <v>3</v>
      </c>
      <c r="E40" s="3">
        <v>4</v>
      </c>
      <c r="F40" t="s">
        <v>228</v>
      </c>
      <c r="G40" t="s">
        <v>229</v>
      </c>
      <c r="H40" t="s">
        <v>164</v>
      </c>
    </row>
    <row r="41" spans="1:8" x14ac:dyDescent="0.25">
      <c r="A41" t="s">
        <v>235</v>
      </c>
      <c r="B41" t="s">
        <v>236</v>
      </c>
      <c r="C41" t="s">
        <v>232</v>
      </c>
      <c r="D41" s="3">
        <v>4</v>
      </c>
      <c r="E41" s="3">
        <v>5</v>
      </c>
      <c r="F41" t="s">
        <v>228</v>
      </c>
      <c r="G41" t="s">
        <v>229</v>
      </c>
      <c r="H41" t="s">
        <v>164</v>
      </c>
    </row>
    <row r="42" spans="1:8" x14ac:dyDescent="0.25">
      <c r="A42" t="s">
        <v>237</v>
      </c>
      <c r="B42" t="s">
        <v>238</v>
      </c>
      <c r="C42" t="s">
        <v>227</v>
      </c>
      <c r="D42" s="3">
        <v>3</v>
      </c>
      <c r="E42" s="3">
        <v>4</v>
      </c>
      <c r="F42" t="s">
        <v>228</v>
      </c>
      <c r="G42" t="s">
        <v>229</v>
      </c>
      <c r="H42" t="s">
        <v>164</v>
      </c>
    </row>
    <row r="43" spans="1:8" x14ac:dyDescent="0.25">
      <c r="A43" t="s">
        <v>239</v>
      </c>
      <c r="B43" t="s">
        <v>240</v>
      </c>
      <c r="C43" t="s">
        <v>232</v>
      </c>
      <c r="D43" s="3">
        <v>4</v>
      </c>
      <c r="E43" s="3">
        <v>5</v>
      </c>
      <c r="F43" t="s">
        <v>228</v>
      </c>
      <c r="G43" t="s">
        <v>229</v>
      </c>
      <c r="H43" t="s">
        <v>164</v>
      </c>
    </row>
    <row r="44" spans="1:8" x14ac:dyDescent="0.25">
      <c r="A44" t="s">
        <v>241</v>
      </c>
      <c r="B44" t="s">
        <v>242</v>
      </c>
      <c r="C44" t="s">
        <v>227</v>
      </c>
      <c r="D44" s="3">
        <v>6</v>
      </c>
      <c r="E44" s="3">
        <v>5</v>
      </c>
      <c r="F44" t="s">
        <v>228</v>
      </c>
      <c r="G44" t="s">
        <v>229</v>
      </c>
      <c r="H44" t="s">
        <v>164</v>
      </c>
    </row>
    <row r="45" spans="1:8" x14ac:dyDescent="0.25">
      <c r="A45" t="s">
        <v>243</v>
      </c>
      <c r="B45" t="s">
        <v>244</v>
      </c>
      <c r="C45" t="s">
        <v>232</v>
      </c>
      <c r="D45" s="3">
        <v>6</v>
      </c>
      <c r="E45" s="3">
        <v>5</v>
      </c>
      <c r="F45" t="s">
        <v>228</v>
      </c>
      <c r="G45" t="s">
        <v>229</v>
      </c>
      <c r="H45" t="s">
        <v>164</v>
      </c>
    </row>
    <row r="46" spans="1:8" x14ac:dyDescent="0.25">
      <c r="A46" t="s">
        <v>245</v>
      </c>
      <c r="B46" t="s">
        <v>246</v>
      </c>
      <c r="C46" t="s">
        <v>247</v>
      </c>
      <c r="D46" s="3">
        <v>14</v>
      </c>
      <c r="E46" s="3">
        <v>6</v>
      </c>
      <c r="F46" t="s">
        <v>228</v>
      </c>
      <c r="G46" t="s">
        <v>229</v>
      </c>
      <c r="H46" t="s">
        <v>164</v>
      </c>
    </row>
    <row r="47" spans="1:8" x14ac:dyDescent="0.25">
      <c r="A47" t="s">
        <v>248</v>
      </c>
      <c r="B47" t="s">
        <v>249</v>
      </c>
      <c r="C47" t="s">
        <v>250</v>
      </c>
      <c r="D47" s="3">
        <v>14</v>
      </c>
      <c r="E47" s="3">
        <v>6</v>
      </c>
      <c r="F47" t="s">
        <v>228</v>
      </c>
      <c r="G47" t="s">
        <v>229</v>
      </c>
      <c r="H47" t="s">
        <v>164</v>
      </c>
    </row>
    <row r="48" spans="1:8" x14ac:dyDescent="0.25">
      <c r="A48" t="s">
        <v>251</v>
      </c>
      <c r="B48" t="s">
        <v>252</v>
      </c>
      <c r="C48" t="s">
        <v>247</v>
      </c>
      <c r="D48" s="3">
        <v>14</v>
      </c>
      <c r="E48" s="3">
        <v>6</v>
      </c>
      <c r="F48" t="s">
        <v>228</v>
      </c>
      <c r="G48" t="s">
        <v>229</v>
      </c>
      <c r="H48" t="s">
        <v>164</v>
      </c>
    </row>
    <row r="49" spans="1:8" x14ac:dyDescent="0.25">
      <c r="A49" t="s">
        <v>253</v>
      </c>
      <c r="B49" t="s">
        <v>254</v>
      </c>
      <c r="C49" t="s">
        <v>255</v>
      </c>
      <c r="D49" s="3">
        <v>16</v>
      </c>
      <c r="E49" s="3">
        <v>7</v>
      </c>
      <c r="F49" t="s">
        <v>228</v>
      </c>
      <c r="G49" t="s">
        <v>229</v>
      </c>
      <c r="H49" t="s">
        <v>164</v>
      </c>
    </row>
    <row r="50" spans="1:8" x14ac:dyDescent="0.25">
      <c r="A50" t="s">
        <v>256</v>
      </c>
      <c r="B50" t="s">
        <v>257</v>
      </c>
      <c r="C50" t="s">
        <v>258</v>
      </c>
      <c r="D50" s="3">
        <v>125</v>
      </c>
      <c r="E50" s="3">
        <v>125</v>
      </c>
      <c r="F50" t="s">
        <v>259</v>
      </c>
      <c r="G50" t="s">
        <v>229</v>
      </c>
      <c r="H50" t="s">
        <v>164</v>
      </c>
    </row>
    <row r="51" spans="1:8" x14ac:dyDescent="0.25">
      <c r="A51" t="s">
        <v>260</v>
      </c>
      <c r="B51" t="s">
        <v>261</v>
      </c>
      <c r="C51" t="s">
        <v>262</v>
      </c>
      <c r="D51" s="3">
        <v>100</v>
      </c>
      <c r="E51" s="3">
        <v>50</v>
      </c>
      <c r="F51" t="s">
        <v>120</v>
      </c>
      <c r="G51" t="s">
        <v>229</v>
      </c>
      <c r="H51" t="s">
        <v>263</v>
      </c>
    </row>
    <row r="52" spans="1:8" x14ac:dyDescent="0.25">
      <c r="A52" t="s">
        <v>264</v>
      </c>
      <c r="B52" t="s">
        <v>265</v>
      </c>
      <c r="C52" t="s">
        <v>266</v>
      </c>
      <c r="D52" s="3">
        <v>1</v>
      </c>
      <c r="E52" s="3">
        <v>1</v>
      </c>
      <c r="F52" t="s">
        <v>228</v>
      </c>
      <c r="G52" t="s">
        <v>267</v>
      </c>
      <c r="H52" t="s">
        <v>164</v>
      </c>
    </row>
    <row r="53" spans="1:8" x14ac:dyDescent="0.25">
      <c r="A53" t="s">
        <v>268</v>
      </c>
      <c r="B53" t="s">
        <v>269</v>
      </c>
      <c r="C53" t="s">
        <v>270</v>
      </c>
      <c r="D53" s="3">
        <v>2</v>
      </c>
      <c r="E53" s="3">
        <v>2</v>
      </c>
      <c r="F53" t="s">
        <v>228</v>
      </c>
      <c r="G53" t="s">
        <v>267</v>
      </c>
      <c r="H53" t="s">
        <v>164</v>
      </c>
    </row>
    <row r="54" spans="1:8" x14ac:dyDescent="0.25">
      <c r="A54" t="s">
        <v>271</v>
      </c>
      <c r="B54" t="s">
        <v>272</v>
      </c>
      <c r="C54" t="s">
        <v>273</v>
      </c>
      <c r="D54" s="3">
        <v>2</v>
      </c>
      <c r="E54" s="3">
        <v>2</v>
      </c>
      <c r="F54" t="s">
        <v>228</v>
      </c>
      <c r="G54" t="s">
        <v>267</v>
      </c>
      <c r="H54" t="s">
        <v>164</v>
      </c>
    </row>
    <row r="55" spans="1:8" x14ac:dyDescent="0.25">
      <c r="A55" t="s">
        <v>274</v>
      </c>
      <c r="B55" t="s">
        <v>275</v>
      </c>
      <c r="C55" t="s">
        <v>276</v>
      </c>
      <c r="D55" s="3">
        <v>3</v>
      </c>
      <c r="E55" s="3">
        <v>2</v>
      </c>
      <c r="F55" t="s">
        <v>228</v>
      </c>
      <c r="G55" t="s">
        <v>267</v>
      </c>
      <c r="H55" t="s">
        <v>164</v>
      </c>
    </row>
    <row r="56" spans="1:8" x14ac:dyDescent="0.25">
      <c r="A56" t="s">
        <v>277</v>
      </c>
      <c r="B56" t="s">
        <v>278</v>
      </c>
      <c r="C56" t="s">
        <v>279</v>
      </c>
      <c r="D56" s="3">
        <v>7</v>
      </c>
      <c r="E56" s="3">
        <v>3</v>
      </c>
      <c r="F56" t="s">
        <v>228</v>
      </c>
      <c r="G56" t="s">
        <v>267</v>
      </c>
      <c r="H56" t="s">
        <v>164</v>
      </c>
    </row>
    <row r="57" spans="1:8" x14ac:dyDescent="0.25">
      <c r="A57" t="s">
        <v>280</v>
      </c>
      <c r="B57" t="s">
        <v>281</v>
      </c>
      <c r="C57" t="s">
        <v>282</v>
      </c>
      <c r="D57" s="3">
        <v>9</v>
      </c>
      <c r="E57" s="3">
        <v>4</v>
      </c>
      <c r="F57" t="s">
        <v>228</v>
      </c>
      <c r="G57" t="s">
        <v>267</v>
      </c>
      <c r="H57" t="s">
        <v>164</v>
      </c>
    </row>
    <row r="58" spans="1:8" x14ac:dyDescent="0.25">
      <c r="A58" t="s">
        <v>283</v>
      </c>
      <c r="B58" t="s">
        <v>284</v>
      </c>
      <c r="C58" t="s">
        <v>285</v>
      </c>
      <c r="D58" s="3">
        <v>12</v>
      </c>
      <c r="E58" s="3">
        <v>5</v>
      </c>
      <c r="F58" t="s">
        <v>228</v>
      </c>
      <c r="G58" t="s">
        <v>267</v>
      </c>
      <c r="H58" t="s">
        <v>164</v>
      </c>
    </row>
    <row r="59" spans="1:8" x14ac:dyDescent="0.25">
      <c r="A59" t="s">
        <v>286</v>
      </c>
      <c r="B59" t="s">
        <v>287</v>
      </c>
      <c r="C59" t="s">
        <v>288</v>
      </c>
      <c r="D59" s="3">
        <v>6</v>
      </c>
      <c r="E59" s="3">
        <v>3</v>
      </c>
      <c r="F59" t="s">
        <v>228</v>
      </c>
      <c r="G59" t="s">
        <v>267</v>
      </c>
      <c r="H59" t="s">
        <v>164</v>
      </c>
    </row>
    <row r="60" spans="1:8" x14ac:dyDescent="0.25">
      <c r="A60" t="s">
        <v>289</v>
      </c>
      <c r="B60" t="s">
        <v>290</v>
      </c>
      <c r="C60" t="s">
        <v>288</v>
      </c>
      <c r="D60" s="3">
        <v>8</v>
      </c>
      <c r="E60" s="3">
        <v>3</v>
      </c>
      <c r="F60" t="s">
        <v>228</v>
      </c>
      <c r="G60" t="s">
        <v>267</v>
      </c>
      <c r="H60" t="s">
        <v>164</v>
      </c>
    </row>
    <row r="61" spans="1:8" x14ac:dyDescent="0.25">
      <c r="A61" t="s">
        <v>291</v>
      </c>
      <c r="B61" t="s">
        <v>292</v>
      </c>
      <c r="C61" t="s">
        <v>293</v>
      </c>
      <c r="D61" s="3">
        <v>100</v>
      </c>
      <c r="E61" s="3">
        <v>200</v>
      </c>
      <c r="F61" t="s">
        <v>120</v>
      </c>
      <c r="G61" t="s">
        <v>267</v>
      </c>
      <c r="H61" t="s">
        <v>164</v>
      </c>
    </row>
    <row r="62" spans="1:8" x14ac:dyDescent="0.25">
      <c r="A62" t="s">
        <v>294</v>
      </c>
      <c r="B62" t="s">
        <v>295</v>
      </c>
      <c r="C62" t="s">
        <v>296</v>
      </c>
      <c r="D62" s="3">
        <v>100</v>
      </c>
      <c r="E62" s="3">
        <v>1250</v>
      </c>
      <c r="F62" t="s">
        <v>120</v>
      </c>
      <c r="G62" t="s">
        <v>267</v>
      </c>
      <c r="H62" t="s">
        <v>164</v>
      </c>
    </row>
    <row r="63" spans="1:8" x14ac:dyDescent="0.25">
      <c r="A63" t="s">
        <v>297</v>
      </c>
      <c r="B63" t="s">
        <v>298</v>
      </c>
      <c r="C63" t="s">
        <v>299</v>
      </c>
      <c r="D63" s="3">
        <v>100</v>
      </c>
      <c r="E63" s="3">
        <v>100</v>
      </c>
      <c r="F63" t="s">
        <v>120</v>
      </c>
      <c r="G63" t="s">
        <v>267</v>
      </c>
      <c r="H63" t="s">
        <v>164</v>
      </c>
    </row>
    <row r="64" spans="1:8" x14ac:dyDescent="0.25">
      <c r="A64" t="s">
        <v>300</v>
      </c>
      <c r="B64" t="s">
        <v>301</v>
      </c>
      <c r="C64" t="s">
        <v>302</v>
      </c>
      <c r="D64" s="3">
        <v>0</v>
      </c>
      <c r="E64" s="3">
        <v>100</v>
      </c>
      <c r="F64" t="s">
        <v>120</v>
      </c>
      <c r="G64" t="s">
        <v>267</v>
      </c>
      <c r="H64" t="s">
        <v>164</v>
      </c>
    </row>
    <row r="65" spans="1:8" x14ac:dyDescent="0.25">
      <c r="A65" t="s">
        <v>303</v>
      </c>
      <c r="B65" t="s">
        <v>304</v>
      </c>
      <c r="C65" t="s">
        <v>305</v>
      </c>
      <c r="D65" s="3">
        <v>0</v>
      </c>
      <c r="E65" s="3">
        <v>12.5</v>
      </c>
      <c r="F65" t="s">
        <v>228</v>
      </c>
      <c r="G65" t="s">
        <v>306</v>
      </c>
      <c r="H65" t="s">
        <v>164</v>
      </c>
    </row>
    <row r="66" spans="1:8" x14ac:dyDescent="0.25">
      <c r="A66" t="s">
        <v>307</v>
      </c>
      <c r="B66" t="s">
        <v>308</v>
      </c>
      <c r="C66" t="s">
        <v>309</v>
      </c>
      <c r="D66" s="3">
        <v>0</v>
      </c>
      <c r="E66" s="3">
        <v>30</v>
      </c>
      <c r="F66" t="s">
        <v>228</v>
      </c>
      <c r="G66" t="s">
        <v>306</v>
      </c>
      <c r="H66" t="s">
        <v>164</v>
      </c>
    </row>
    <row r="67" spans="1:8" x14ac:dyDescent="0.25">
      <c r="A67" t="s">
        <v>310</v>
      </c>
      <c r="B67" t="s">
        <v>311</v>
      </c>
      <c r="C67" t="s">
        <v>312</v>
      </c>
      <c r="D67" s="3">
        <v>0</v>
      </c>
      <c r="E67" s="3">
        <v>30</v>
      </c>
      <c r="F67" t="s">
        <v>228</v>
      </c>
      <c r="G67" t="s">
        <v>306</v>
      </c>
      <c r="H67" t="s">
        <v>164</v>
      </c>
    </row>
    <row r="68" spans="1:8" x14ac:dyDescent="0.25">
      <c r="A68" t="s">
        <v>313</v>
      </c>
      <c r="B68" t="s">
        <v>314</v>
      </c>
      <c r="C68" t="s">
        <v>314</v>
      </c>
      <c r="D68" s="3">
        <v>0</v>
      </c>
      <c r="E68" s="3">
        <v>50</v>
      </c>
      <c r="F68" t="s">
        <v>228</v>
      </c>
      <c r="G68" t="s">
        <v>306</v>
      </c>
      <c r="H68" t="s">
        <v>164</v>
      </c>
    </row>
    <row r="69" spans="1:8" x14ac:dyDescent="0.25">
      <c r="A69" t="s">
        <v>315</v>
      </c>
      <c r="B69" t="s">
        <v>316</v>
      </c>
      <c r="C69" t="s">
        <v>317</v>
      </c>
      <c r="D69" s="3">
        <v>500</v>
      </c>
      <c r="E69" s="3">
        <v>300</v>
      </c>
      <c r="F69" t="s">
        <v>120</v>
      </c>
      <c r="G69" t="s">
        <v>318</v>
      </c>
      <c r="H69" t="s">
        <v>164</v>
      </c>
    </row>
    <row r="70" spans="1:8" x14ac:dyDescent="0.25">
      <c r="A70" t="s">
        <v>319</v>
      </c>
      <c r="B70" t="s">
        <v>320</v>
      </c>
      <c r="C70" t="s">
        <v>321</v>
      </c>
      <c r="D70" s="3">
        <v>500</v>
      </c>
      <c r="E70" s="3">
        <v>1000</v>
      </c>
      <c r="F70" t="s">
        <v>120</v>
      </c>
      <c r="G70" t="s">
        <v>318</v>
      </c>
      <c r="H70" t="s">
        <v>164</v>
      </c>
    </row>
    <row r="71" spans="1:8" x14ac:dyDescent="0.25">
      <c r="A71" t="s">
        <v>322</v>
      </c>
      <c r="B71" t="s">
        <v>323</v>
      </c>
      <c r="C71" t="s">
        <v>324</v>
      </c>
      <c r="D71" s="3">
        <v>500</v>
      </c>
      <c r="E71" s="3">
        <v>750</v>
      </c>
      <c r="F71" t="s">
        <v>120</v>
      </c>
      <c r="G71" t="s">
        <v>318</v>
      </c>
      <c r="H71" t="s">
        <v>164</v>
      </c>
    </row>
    <row r="72" spans="1:8" x14ac:dyDescent="0.25">
      <c r="A72" t="s">
        <v>325</v>
      </c>
      <c r="B72" t="s">
        <v>326</v>
      </c>
      <c r="C72" t="s">
        <v>327</v>
      </c>
      <c r="D72" s="3">
        <v>150</v>
      </c>
      <c r="E72" s="3">
        <v>150</v>
      </c>
      <c r="F72" t="s">
        <v>120</v>
      </c>
      <c r="G72" t="s">
        <v>318</v>
      </c>
      <c r="H72" t="s">
        <v>164</v>
      </c>
    </row>
    <row r="73" spans="1:8" x14ac:dyDescent="0.25">
      <c r="A73" t="s">
        <v>328</v>
      </c>
      <c r="B73" t="s">
        <v>329</v>
      </c>
      <c r="C73" t="s">
        <v>330</v>
      </c>
      <c r="D73" s="3">
        <v>100</v>
      </c>
      <c r="E73" s="3">
        <v>900</v>
      </c>
      <c r="F73" t="s">
        <v>120</v>
      </c>
      <c r="G73" t="s">
        <v>318</v>
      </c>
      <c r="H73" t="s">
        <v>164</v>
      </c>
    </row>
    <row r="74" spans="1:8" x14ac:dyDescent="0.25">
      <c r="A74" t="s">
        <v>331</v>
      </c>
      <c r="B74" t="s">
        <v>332</v>
      </c>
      <c r="C74" t="s">
        <v>333</v>
      </c>
      <c r="D74" s="3">
        <v>100</v>
      </c>
      <c r="E74" s="3">
        <v>900</v>
      </c>
      <c r="F74" t="s">
        <v>120</v>
      </c>
      <c r="G74" t="s">
        <v>318</v>
      </c>
      <c r="H74" t="s">
        <v>164</v>
      </c>
    </row>
    <row r="75" spans="1:8" x14ac:dyDescent="0.25">
      <c r="A75" t="s">
        <v>334</v>
      </c>
      <c r="B75" t="s">
        <v>335</v>
      </c>
      <c r="C75" t="s">
        <v>336</v>
      </c>
      <c r="D75" s="3">
        <v>100</v>
      </c>
      <c r="E75" s="3">
        <v>100</v>
      </c>
      <c r="F75" t="s">
        <v>120</v>
      </c>
      <c r="G75" t="s">
        <v>318</v>
      </c>
      <c r="H75" t="s">
        <v>164</v>
      </c>
    </row>
    <row r="76" spans="1:8" x14ac:dyDescent="0.25">
      <c r="A76" t="s">
        <v>337</v>
      </c>
      <c r="B76" t="s">
        <v>338</v>
      </c>
      <c r="C76" t="s">
        <v>339</v>
      </c>
      <c r="D76" s="3">
        <v>1000</v>
      </c>
      <c r="E76" s="3">
        <v>1000</v>
      </c>
      <c r="F76" t="s">
        <v>340</v>
      </c>
      <c r="G76" t="s">
        <v>341</v>
      </c>
      <c r="H76" t="s">
        <v>164</v>
      </c>
    </row>
    <row r="77" spans="1:8" x14ac:dyDescent="0.25">
      <c r="A77" t="s">
        <v>342</v>
      </c>
      <c r="B77" t="s">
        <v>343</v>
      </c>
      <c r="C77" t="s">
        <v>344</v>
      </c>
      <c r="D77" s="3">
        <v>1000</v>
      </c>
      <c r="E77" s="3">
        <v>1000</v>
      </c>
      <c r="F77" t="s">
        <v>340</v>
      </c>
      <c r="G77" t="s">
        <v>345</v>
      </c>
      <c r="H77" t="s">
        <v>164</v>
      </c>
    </row>
    <row r="78" spans="1:8" x14ac:dyDescent="0.25">
      <c r="A78" t="s">
        <v>346</v>
      </c>
      <c r="B78" t="s">
        <v>347</v>
      </c>
      <c r="C78" t="s">
        <v>348</v>
      </c>
      <c r="D78" s="3">
        <v>2500</v>
      </c>
      <c r="E78" s="3">
        <v>2500</v>
      </c>
      <c r="F78" t="s">
        <v>340</v>
      </c>
      <c r="G78" t="s">
        <v>345</v>
      </c>
      <c r="H78" t="s">
        <v>164</v>
      </c>
    </row>
    <row r="79" spans="1:8" x14ac:dyDescent="0.25">
      <c r="A79" t="s">
        <v>349</v>
      </c>
      <c r="B79" t="s">
        <v>350</v>
      </c>
      <c r="C79" t="s">
        <v>351</v>
      </c>
      <c r="D79" s="3">
        <v>0</v>
      </c>
      <c r="E79" s="3">
        <v>3000</v>
      </c>
      <c r="F79" t="s">
        <v>340</v>
      </c>
      <c r="G79" t="s">
        <v>345</v>
      </c>
      <c r="H79" t="s">
        <v>164</v>
      </c>
    </row>
    <row r="80" spans="1:8" x14ac:dyDescent="0.25">
      <c r="A80" t="s">
        <v>352</v>
      </c>
      <c r="B80" t="s">
        <v>353</v>
      </c>
      <c r="C80" t="s">
        <v>354</v>
      </c>
      <c r="D80" s="3">
        <v>0</v>
      </c>
      <c r="E80" s="3">
        <v>5500</v>
      </c>
      <c r="F80" t="s">
        <v>340</v>
      </c>
      <c r="G80" t="s">
        <v>345</v>
      </c>
      <c r="H80" t="s">
        <v>164</v>
      </c>
    </row>
    <row r="81" spans="1:8" x14ac:dyDescent="0.25">
      <c r="A81" t="s">
        <v>355</v>
      </c>
      <c r="B81" t="s">
        <v>356</v>
      </c>
      <c r="C81" t="s">
        <v>357</v>
      </c>
      <c r="D81" s="3">
        <v>0</v>
      </c>
      <c r="E81" s="3">
        <v>300</v>
      </c>
      <c r="F81" t="s">
        <v>120</v>
      </c>
      <c r="G81" t="s">
        <v>358</v>
      </c>
      <c r="H81" t="s">
        <v>164</v>
      </c>
    </row>
    <row r="82" spans="1:8" x14ac:dyDescent="0.25">
      <c r="A82" t="s">
        <v>359</v>
      </c>
      <c r="B82" t="s">
        <v>360</v>
      </c>
      <c r="C82" t="s">
        <v>361</v>
      </c>
      <c r="D82" s="3">
        <v>0</v>
      </c>
      <c r="E82" s="3">
        <v>100</v>
      </c>
      <c r="F82" t="s">
        <v>120</v>
      </c>
      <c r="G82" t="s">
        <v>358</v>
      </c>
      <c r="H82" t="s">
        <v>164</v>
      </c>
    </row>
    <row r="83" spans="1:8" x14ac:dyDescent="0.25">
      <c r="A83" t="s">
        <v>362</v>
      </c>
      <c r="B83" t="s">
        <v>363</v>
      </c>
      <c r="C83" t="s">
        <v>364</v>
      </c>
      <c r="D83" s="3">
        <v>0</v>
      </c>
      <c r="E83" s="3">
        <v>50</v>
      </c>
      <c r="F83" t="s">
        <v>120</v>
      </c>
      <c r="G83" t="s">
        <v>358</v>
      </c>
      <c r="H83" t="s">
        <v>164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EVSE Products-NY</vt:lpstr>
      <vt:lpstr>EVSE Products-MA</vt:lpstr>
      <vt:lpstr>EVSE Products-NJ</vt:lpstr>
      <vt:lpstr>EVSE Products-WA</vt:lpstr>
      <vt:lpstr>Installation Services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2026-02-12T16:22:13Z</dcterms:created>
  <dcterms:modified xsi:type="dcterms:W3CDTF">2026-04-09T20:43:13Z</dcterms:modified>
  <cp:category/>
</cp:coreProperties>
</file>